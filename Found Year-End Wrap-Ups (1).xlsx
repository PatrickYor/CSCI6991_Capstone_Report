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ysuprod.sharepoint.com/sites/ZWResearch-6991PatrickYork/Shared Documents/"/>
    </mc:Choice>
  </mc:AlternateContent>
  <xr:revisionPtr revIDLastSave="0" documentId="8_{9B446216-E26C-401F-BB60-2F93DA4F11C5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Sheet1" sheetId="14" r:id="rId1"/>
    <sheet name="FINAL DATASET (2)" sheetId="13" r:id="rId2"/>
    <sheet name="FINAL DATASET" sheetId="12" r:id="rId3"/>
    <sheet name="Comparison" sheetId="11" r:id="rId4"/>
    <sheet name="Patrickv2" sheetId="9" r:id="rId5"/>
    <sheet name="Whilev2" sheetId="10" r:id="rId6"/>
    <sheet name="Codes v2" sheetId="8" r:id="rId7"/>
    <sheet name="Dr. While Qual. Coding" sheetId="7" r:id="rId8"/>
    <sheet name="Patrick Qual. Coding" sheetId="6" r:id="rId9"/>
    <sheet name="Only Broad" sheetId="5" r:id="rId10"/>
    <sheet name="One Provider per Row" sheetId="3" r:id="rId11"/>
    <sheet name="PRE-FILTER One Provider per Row" sheetId="4" r:id="rId12"/>
    <sheet name="Original Data (Aggregated)" sheetId="1" r:id="rId13"/>
    <sheet name="Sheet2" sheetId="15" r:id="rId14"/>
  </sheets>
  <definedNames>
    <definedName name="_xlnm._FilterDatabase" localSheetId="7" hidden="1">'Dr. While Qual. Coding'!$H$1:$H$74</definedName>
    <definedName name="_xlnm._FilterDatabase" localSheetId="9" hidden="1">'Only Broad'!$C$1:$C$74</definedName>
    <definedName name="_xlnm._FilterDatabase" localSheetId="8" hidden="1">'Patrick Qual. Coding'!$W$1:$W$74</definedName>
  </definedNames>
  <calcPr calcId="191028"/>
  <pivotCaches>
    <pivotCache cacheId="165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13" l="1"/>
  <c r="G61" i="13"/>
  <c r="L60" i="13"/>
  <c r="G60" i="13"/>
  <c r="M59" i="13"/>
  <c r="K59" i="13"/>
  <c r="J59" i="13"/>
  <c r="I59" i="13"/>
  <c r="H59" i="13"/>
  <c r="F59" i="13"/>
  <c r="E59" i="13"/>
  <c r="D59" i="13"/>
  <c r="C59" i="13"/>
  <c r="B59" i="13"/>
  <c r="M58" i="13"/>
  <c r="K58" i="13"/>
  <c r="J58" i="13"/>
  <c r="I58" i="13"/>
  <c r="H58" i="13"/>
  <c r="F58" i="13"/>
  <c r="E58" i="13"/>
  <c r="D58" i="13"/>
  <c r="C58" i="13"/>
  <c r="B58" i="13"/>
  <c r="M57" i="13"/>
  <c r="K57" i="13"/>
  <c r="J57" i="13"/>
  <c r="I57" i="13"/>
  <c r="H57" i="13"/>
  <c r="F57" i="13"/>
  <c r="E57" i="13"/>
  <c r="D57" i="13"/>
  <c r="C57" i="13"/>
  <c r="B57" i="13"/>
  <c r="M56" i="13"/>
  <c r="K56" i="13"/>
  <c r="J56" i="13"/>
  <c r="I56" i="13"/>
  <c r="H56" i="13"/>
  <c r="F56" i="13"/>
  <c r="E56" i="13"/>
  <c r="D56" i="13"/>
  <c r="C56" i="13"/>
  <c r="B56" i="13"/>
  <c r="M55" i="13"/>
  <c r="K55" i="13"/>
  <c r="J55" i="13"/>
  <c r="I55" i="13"/>
  <c r="H55" i="13"/>
  <c r="F55" i="13"/>
  <c r="E55" i="13"/>
  <c r="D55" i="13"/>
  <c r="C55" i="13"/>
  <c r="B55" i="13"/>
  <c r="M54" i="13"/>
  <c r="K54" i="13"/>
  <c r="J54" i="13"/>
  <c r="I54" i="13"/>
  <c r="H54" i="13"/>
  <c r="F54" i="13"/>
  <c r="E54" i="13"/>
  <c r="D54" i="13"/>
  <c r="C54" i="13"/>
  <c r="B54" i="13"/>
  <c r="M53" i="13"/>
  <c r="K53" i="13"/>
  <c r="J53" i="13"/>
  <c r="I53" i="13"/>
  <c r="H53" i="13"/>
  <c r="F53" i="13"/>
  <c r="E53" i="13"/>
  <c r="D53" i="13"/>
  <c r="C53" i="13"/>
  <c r="B53" i="13"/>
  <c r="M52" i="13"/>
  <c r="K52" i="13"/>
  <c r="J52" i="13"/>
  <c r="I52" i="13"/>
  <c r="H52" i="13"/>
  <c r="F52" i="13"/>
  <c r="E52" i="13"/>
  <c r="D52" i="13"/>
  <c r="C52" i="13"/>
  <c r="B52" i="13"/>
  <c r="M51" i="13"/>
  <c r="K51" i="13"/>
  <c r="J51" i="13"/>
  <c r="I51" i="13"/>
  <c r="H51" i="13"/>
  <c r="F51" i="13"/>
  <c r="E51" i="13"/>
  <c r="D51" i="13"/>
  <c r="C51" i="13"/>
  <c r="B51" i="13"/>
  <c r="M50" i="13"/>
  <c r="K50" i="13"/>
  <c r="J50" i="13"/>
  <c r="I50" i="13"/>
  <c r="H50" i="13"/>
  <c r="F50" i="13"/>
  <c r="E50" i="13"/>
  <c r="D50" i="13"/>
  <c r="C50" i="13"/>
  <c r="B50" i="13"/>
  <c r="M49" i="13"/>
  <c r="K49" i="13"/>
  <c r="J49" i="13"/>
  <c r="I49" i="13"/>
  <c r="H49" i="13"/>
  <c r="F49" i="13"/>
  <c r="E49" i="13"/>
  <c r="D49" i="13"/>
  <c r="C49" i="13"/>
  <c r="B49" i="13"/>
  <c r="M48" i="13"/>
  <c r="K48" i="13"/>
  <c r="J48" i="13"/>
  <c r="I48" i="13"/>
  <c r="H48" i="13"/>
  <c r="F48" i="13"/>
  <c r="E48" i="13"/>
  <c r="D48" i="13"/>
  <c r="C48" i="13"/>
  <c r="B48" i="13"/>
  <c r="M47" i="13"/>
  <c r="K47" i="13"/>
  <c r="J47" i="13"/>
  <c r="I47" i="13"/>
  <c r="H47" i="13"/>
  <c r="F47" i="13"/>
  <c r="E47" i="13"/>
  <c r="D47" i="13"/>
  <c r="C47" i="13"/>
  <c r="B47" i="13"/>
  <c r="M46" i="13"/>
  <c r="K46" i="13"/>
  <c r="J46" i="13"/>
  <c r="I46" i="13"/>
  <c r="H46" i="13"/>
  <c r="F46" i="13"/>
  <c r="E46" i="13"/>
  <c r="D46" i="13"/>
  <c r="C46" i="13"/>
  <c r="B46" i="13"/>
  <c r="M45" i="13"/>
  <c r="K45" i="13"/>
  <c r="J45" i="13"/>
  <c r="I45" i="13"/>
  <c r="H45" i="13"/>
  <c r="F45" i="13"/>
  <c r="E45" i="13"/>
  <c r="D45" i="13"/>
  <c r="C45" i="13"/>
  <c r="B45" i="13"/>
  <c r="M44" i="13"/>
  <c r="K44" i="13"/>
  <c r="J44" i="13"/>
  <c r="I44" i="13"/>
  <c r="H44" i="13"/>
  <c r="F44" i="13"/>
  <c r="E44" i="13"/>
  <c r="D44" i="13"/>
  <c r="C44" i="13"/>
  <c r="B44" i="13"/>
  <c r="M43" i="13"/>
  <c r="K43" i="13"/>
  <c r="J43" i="13"/>
  <c r="I43" i="13"/>
  <c r="H43" i="13"/>
  <c r="F43" i="13"/>
  <c r="E43" i="13"/>
  <c r="D43" i="13"/>
  <c r="C43" i="13"/>
  <c r="B43" i="13"/>
  <c r="M42" i="13"/>
  <c r="K42" i="13"/>
  <c r="J42" i="13"/>
  <c r="I42" i="13"/>
  <c r="H42" i="13"/>
  <c r="F42" i="13"/>
  <c r="E42" i="13"/>
  <c r="D42" i="13"/>
  <c r="C42" i="13"/>
  <c r="B42" i="13"/>
  <c r="M41" i="13"/>
  <c r="K41" i="13"/>
  <c r="J41" i="13"/>
  <c r="I41" i="13"/>
  <c r="H41" i="13"/>
  <c r="F41" i="13"/>
  <c r="E41" i="13"/>
  <c r="D41" i="13"/>
  <c r="C41" i="13"/>
  <c r="B41" i="13"/>
  <c r="M40" i="13"/>
  <c r="K40" i="13"/>
  <c r="J40" i="13"/>
  <c r="I40" i="13"/>
  <c r="H40" i="13"/>
  <c r="F40" i="13"/>
  <c r="E40" i="13"/>
  <c r="D40" i="13"/>
  <c r="C40" i="13"/>
  <c r="B40" i="13"/>
  <c r="M39" i="13"/>
  <c r="K39" i="13"/>
  <c r="J39" i="13"/>
  <c r="I39" i="13"/>
  <c r="H39" i="13"/>
  <c r="F39" i="13"/>
  <c r="E39" i="13"/>
  <c r="D39" i="13"/>
  <c r="C39" i="13"/>
  <c r="B39" i="13"/>
  <c r="M38" i="13"/>
  <c r="K38" i="13"/>
  <c r="J38" i="13"/>
  <c r="I38" i="13"/>
  <c r="H38" i="13"/>
  <c r="F38" i="13"/>
  <c r="E38" i="13"/>
  <c r="D38" i="13"/>
  <c r="C38" i="13"/>
  <c r="B38" i="13"/>
  <c r="Q37" i="13" a="1"/>
  <c r="Q37" i="13" s="1"/>
  <c r="M37" i="13"/>
  <c r="K37" i="13"/>
  <c r="J37" i="13"/>
  <c r="I37" i="13"/>
  <c r="H37" i="13"/>
  <c r="F37" i="13"/>
  <c r="E37" i="13"/>
  <c r="D37" i="13"/>
  <c r="C37" i="13"/>
  <c r="B37" i="13"/>
  <c r="M36" i="13"/>
  <c r="K36" i="13"/>
  <c r="J36" i="13"/>
  <c r="I36" i="13"/>
  <c r="H36" i="13"/>
  <c r="F36" i="13"/>
  <c r="E36" i="13"/>
  <c r="D36" i="13"/>
  <c r="C36" i="13"/>
  <c r="B36" i="13"/>
  <c r="M35" i="13"/>
  <c r="K35" i="13"/>
  <c r="J35" i="13"/>
  <c r="I35" i="13"/>
  <c r="H35" i="13"/>
  <c r="F35" i="13"/>
  <c r="E35" i="13"/>
  <c r="D35" i="13"/>
  <c r="C35" i="13"/>
  <c r="B35" i="13"/>
  <c r="M34" i="13"/>
  <c r="K34" i="13"/>
  <c r="J34" i="13"/>
  <c r="I34" i="13"/>
  <c r="H34" i="13"/>
  <c r="F34" i="13"/>
  <c r="E34" i="13"/>
  <c r="D34" i="13"/>
  <c r="C34" i="13"/>
  <c r="B34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Z27" i="13"/>
  <c r="Y27" i="13"/>
  <c r="Z26" i="13"/>
  <c r="Y26" i="13"/>
  <c r="Z25" i="13"/>
  <c r="Y25" i="13"/>
  <c r="Z24" i="13"/>
  <c r="Y24" i="13"/>
  <c r="Z23" i="13"/>
  <c r="Y23" i="13"/>
  <c r="Z22" i="13"/>
  <c r="Y22" i="13"/>
  <c r="Z21" i="13"/>
  <c r="Y21" i="13"/>
  <c r="Z20" i="13"/>
  <c r="Y20" i="13"/>
  <c r="Z19" i="13"/>
  <c r="Y19" i="13"/>
  <c r="Z18" i="13"/>
  <c r="Y18" i="13"/>
  <c r="Z17" i="13"/>
  <c r="Y17" i="13"/>
  <c r="Z16" i="13"/>
  <c r="Y16" i="13"/>
  <c r="Z15" i="13"/>
  <c r="Y15" i="13"/>
  <c r="Z14" i="13"/>
  <c r="Y14" i="13"/>
  <c r="Z13" i="13"/>
  <c r="Y13" i="13"/>
  <c r="Z12" i="13"/>
  <c r="Y12" i="13"/>
  <c r="Z11" i="13"/>
  <c r="Y11" i="13"/>
  <c r="Z10" i="13"/>
  <c r="Y10" i="13"/>
  <c r="Z9" i="13"/>
  <c r="Y9" i="13"/>
  <c r="Z8" i="13"/>
  <c r="Y8" i="13"/>
  <c r="Z7" i="13"/>
  <c r="Y7" i="13"/>
  <c r="Z6" i="13"/>
  <c r="Y6" i="13"/>
  <c r="Z5" i="13"/>
  <c r="Y5" i="13"/>
  <c r="Z4" i="13"/>
  <c r="Y4" i="13"/>
  <c r="Z3" i="13"/>
  <c r="Y3" i="13"/>
  <c r="Z2" i="13"/>
  <c r="Y2" i="13"/>
  <c r="N50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B29" i="12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" i="12"/>
  <c r="G60" i="12"/>
  <c r="L60" i="12"/>
  <c r="G61" i="12"/>
  <c r="L61" i="12"/>
  <c r="D35" i="12"/>
  <c r="Q37" i="12" a="1"/>
  <c r="Q37" i="12"/>
  <c r="Y3" i="12"/>
  <c r="Y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B28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34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34" i="12"/>
  <c r="J35" i="12"/>
  <c r="J36" i="12"/>
  <c r="J37" i="12"/>
  <c r="J38" i="12"/>
  <c r="J39" i="12"/>
  <c r="J40" i="12"/>
  <c r="J41" i="12"/>
  <c r="J42" i="12"/>
  <c r="J43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34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B34" i="12"/>
  <c r="C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B2" i="11"/>
  <c r="B61" i="13" l="1"/>
  <c r="B60" i="13"/>
  <c r="O34" i="13"/>
  <c r="N34" i="13"/>
  <c r="C61" i="13"/>
  <c r="C60" i="13"/>
  <c r="D61" i="13"/>
  <c r="D60" i="13"/>
  <c r="E61" i="13"/>
  <c r="E60" i="13"/>
  <c r="F61" i="13"/>
  <c r="F60" i="13"/>
  <c r="H61" i="13"/>
  <c r="H60" i="13"/>
  <c r="I61" i="13"/>
  <c r="I60" i="13"/>
  <c r="J61" i="13"/>
  <c r="J60" i="13"/>
  <c r="K61" i="13"/>
  <c r="K60" i="13"/>
  <c r="M61" i="13"/>
  <c r="M60" i="13"/>
  <c r="O35" i="13"/>
  <c r="N35" i="13"/>
  <c r="O36" i="13"/>
  <c r="N36" i="13"/>
  <c r="O37" i="13"/>
  <c r="N37" i="13"/>
  <c r="O38" i="13"/>
  <c r="N38" i="13"/>
  <c r="O39" i="13"/>
  <c r="N39" i="13"/>
  <c r="O40" i="13"/>
  <c r="N40" i="13"/>
  <c r="O41" i="13"/>
  <c r="N41" i="13"/>
  <c r="O42" i="13"/>
  <c r="N42" i="13"/>
  <c r="O43" i="13"/>
  <c r="N43" i="13"/>
  <c r="O44" i="13"/>
  <c r="N44" i="13"/>
  <c r="O45" i="13"/>
  <c r="N45" i="13"/>
  <c r="O46" i="13"/>
  <c r="N46" i="13"/>
  <c r="O47" i="13"/>
  <c r="N47" i="13"/>
  <c r="O48" i="13"/>
  <c r="N48" i="13"/>
  <c r="O49" i="13"/>
  <c r="N49" i="13"/>
  <c r="O50" i="13"/>
  <c r="N50" i="13"/>
  <c r="O51" i="13"/>
  <c r="N51" i="13"/>
  <c r="O52" i="13"/>
  <c r="N52" i="13"/>
  <c r="O53" i="13"/>
  <c r="N53" i="13"/>
  <c r="O54" i="13"/>
  <c r="N54" i="13"/>
  <c r="O55" i="13"/>
  <c r="N55" i="13"/>
  <c r="O56" i="13"/>
  <c r="N56" i="13"/>
  <c r="O57" i="13"/>
  <c r="N57" i="13"/>
  <c r="O58" i="13"/>
  <c r="N58" i="13"/>
  <c r="O59" i="13"/>
  <c r="N59" i="13"/>
  <c r="C60" i="12"/>
  <c r="C61" i="12"/>
  <c r="B60" i="12"/>
  <c r="B61" i="12"/>
  <c r="D60" i="12"/>
  <c r="D61" i="12"/>
  <c r="E60" i="12"/>
  <c r="E61" i="12"/>
  <c r="F60" i="12"/>
  <c r="F61" i="12"/>
  <c r="H60" i="12"/>
  <c r="H61" i="12"/>
  <c r="I60" i="12"/>
  <c r="I61" i="12"/>
  <c r="J60" i="12"/>
  <c r="J61" i="12"/>
  <c r="K60" i="12"/>
  <c r="K61" i="12"/>
  <c r="M60" i="12"/>
  <c r="M61" i="12"/>
  <c r="N59" i="12"/>
  <c r="O59" i="12"/>
  <c r="N58" i="12"/>
  <c r="O58" i="12"/>
  <c r="N57" i="12"/>
  <c r="O57" i="12"/>
  <c r="N56" i="12"/>
  <c r="O56" i="12"/>
  <c r="N55" i="12"/>
  <c r="O55" i="12"/>
  <c r="N54" i="12"/>
  <c r="O54" i="12"/>
  <c r="N53" i="12"/>
  <c r="O53" i="12"/>
  <c r="N52" i="12"/>
  <c r="O52" i="12"/>
  <c r="N51" i="12"/>
  <c r="O51" i="12"/>
  <c r="O50" i="12"/>
  <c r="N49" i="12"/>
  <c r="O49" i="12"/>
  <c r="N48" i="12"/>
  <c r="O48" i="12"/>
  <c r="N47" i="12"/>
  <c r="O47" i="12"/>
  <c r="N46" i="12"/>
  <c r="O46" i="12"/>
  <c r="N45" i="12"/>
  <c r="O45" i="12"/>
  <c r="N44" i="12"/>
  <c r="O44" i="12"/>
  <c r="N43" i="12"/>
  <c r="O43" i="12"/>
  <c r="N42" i="12"/>
  <c r="O42" i="12"/>
  <c r="N41" i="12"/>
  <c r="O41" i="12"/>
  <c r="N40" i="12"/>
  <c r="O40" i="12"/>
  <c r="N39" i="12"/>
  <c r="O39" i="12"/>
  <c r="N38" i="12"/>
  <c r="O38" i="12"/>
  <c r="N37" i="12"/>
  <c r="O37" i="12"/>
  <c r="N36" i="12"/>
  <c r="O36" i="12"/>
  <c r="N35" i="12"/>
  <c r="O35" i="12"/>
  <c r="O34" i="12"/>
  <c r="N3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<sst xmlns="http://schemas.openxmlformats.org/spreadsheetml/2006/main" count="2148" uniqueCount="282">
  <si>
    <t>Provider</t>
  </si>
  <si>
    <t>Count</t>
  </si>
  <si>
    <t>Backblaze</t>
  </si>
  <si>
    <t>Cloudflare</t>
  </si>
  <si>
    <t>Duolingo</t>
  </si>
  <si>
    <t>Eight Sleep</t>
  </si>
  <si>
    <t>Garmin</t>
  </si>
  <si>
    <t>Google</t>
  </si>
  <si>
    <t>Letterboxd</t>
  </si>
  <si>
    <t>Netflix</t>
  </si>
  <si>
    <t>NYT Games</t>
  </si>
  <si>
    <t>Oura</t>
  </si>
  <si>
    <t>Pocket Casts</t>
  </si>
  <si>
    <t>Spotify</t>
  </si>
  <si>
    <t>Strava</t>
  </si>
  <si>
    <t>Tinder</t>
  </si>
  <si>
    <t>Tiktok</t>
  </si>
  <si>
    <t>UDisc</t>
  </si>
  <si>
    <t>Wikipedia</t>
  </si>
  <si>
    <t>Youtube</t>
  </si>
  <si>
    <t>Dead By Daylight</t>
  </si>
  <si>
    <t>eBird</t>
  </si>
  <si>
    <t>Chess</t>
  </si>
  <si>
    <t>Games Industry</t>
  </si>
  <si>
    <t>Epic Games</t>
  </si>
  <si>
    <t>Collector Daily</t>
  </si>
  <si>
    <t>Stack Overflow</t>
  </si>
  <si>
    <t>Statsig</t>
  </si>
  <si>
    <t>Name of Provider</t>
  </si>
  <si>
    <t>Bar Chart (H)</t>
  </si>
  <si>
    <t>Bubble Map</t>
  </si>
  <si>
    <t>Column Chart (V)</t>
  </si>
  <si>
    <t>Choropleth Map</t>
  </si>
  <si>
    <t>Grouped Bar Chart</t>
  </si>
  <si>
    <t>Icon Array</t>
  </si>
  <si>
    <t>Line Chart</t>
  </si>
  <si>
    <t>Multi-Series Line Chart</t>
  </si>
  <si>
    <t>Numeric</t>
  </si>
  <si>
    <t>Pie Chart</t>
  </si>
  <si>
    <t>Ranked List</t>
  </si>
  <si>
    <t>Stacked Area Chart</t>
  </si>
  <si>
    <t>Table</t>
  </si>
  <si>
    <t>Timeline</t>
  </si>
  <si>
    <t>Tree Map</t>
  </si>
  <si>
    <t>Stacked Bar Chart</t>
  </si>
  <si>
    <t>Stack Prop. Bar Chart</t>
  </si>
  <si>
    <t>Map</t>
  </si>
  <si>
    <t>Donut Chart</t>
  </si>
  <si>
    <t>Radial Chart</t>
  </si>
  <si>
    <t>Dumbell Chart</t>
  </si>
  <si>
    <t>Sankey Diagram</t>
  </si>
  <si>
    <t>Dot Plot</t>
  </si>
  <si>
    <t>X</t>
  </si>
  <si>
    <t>Area</t>
  </si>
  <si>
    <t>Bar</t>
  </si>
  <si>
    <t>Circle</t>
  </si>
  <si>
    <t>Diagram</t>
  </si>
  <si>
    <t>Distribution</t>
  </si>
  <si>
    <t>Grid &amp; Matrix</t>
  </si>
  <si>
    <t>Line</t>
  </si>
  <si>
    <t>Point</t>
  </si>
  <si>
    <t>Text</t>
  </si>
  <si>
    <t>Trees &amp; Networks</t>
  </si>
  <si>
    <t>Based on visualization taxonomy:</t>
  </si>
  <si>
    <t>http://olivalab.mit.edu/Papers/Borkin_etal_MemorableVisualization_TVCG2013.pdf</t>
  </si>
  <si>
    <t>Stacked Prop. Bar Chart</t>
  </si>
  <si>
    <t>Dumbbell Chart</t>
  </si>
  <si>
    <t>Sankey Chart</t>
  </si>
  <si>
    <t>Company</t>
  </si>
  <si>
    <t>Text (NO NUMBERS, ONLY DESCRIPTIONS)</t>
  </si>
  <si>
    <t>Pie Charts</t>
  </si>
  <si>
    <t>Bar Chart</t>
  </si>
  <si>
    <t>Rankings List</t>
  </si>
  <si>
    <t>Choropleth</t>
  </si>
  <si>
    <t>Hilbert Curve</t>
  </si>
  <si>
    <t>Image Array</t>
  </si>
  <si>
    <t>Coropleth Map</t>
  </si>
  <si>
    <t>Heat Map</t>
  </si>
  <si>
    <t>Column Chart</t>
  </si>
  <si>
    <t>Pictorial Bar Chart</t>
  </si>
  <si>
    <t>Table Chart</t>
  </si>
  <si>
    <t>Ranked List Visual</t>
  </si>
  <si>
    <t>Categorical Graphic (Image Array)</t>
  </si>
  <si>
    <t>Multi-panel Dashboard</t>
  </si>
  <si>
    <t>Comparison Pannel</t>
  </si>
  <si>
    <t>Yes</t>
  </si>
  <si>
    <t>No</t>
  </si>
  <si>
    <t>look into map with circle radii</t>
  </si>
  <si>
    <t>Twitch</t>
  </si>
  <si>
    <r>
      <t xml:space="preserve">Title of the Summary (e.g., </t>
    </r>
    <r>
      <rPr>
        <b/>
        <i/>
        <sz val="14"/>
        <color rgb="FFFFFFFF"/>
        <rFont val="Calibri"/>
        <scheme val="minor"/>
      </rPr>
      <t>"Wrapped"</t>
    </r>
    <r>
      <rPr>
        <b/>
        <sz val="14"/>
        <color rgb="FFFFFFFF"/>
        <rFont val="Calibri"/>
        <scheme val="minor"/>
      </rPr>
      <t xml:space="preserve">, </t>
    </r>
    <r>
      <rPr>
        <b/>
        <i/>
        <sz val="14"/>
        <color rgb="FFFFFFFF"/>
        <rFont val="Calibri"/>
        <scheme val="minor"/>
      </rPr>
      <t>"Year in Review"</t>
    </r>
    <r>
      <rPr>
        <b/>
        <sz val="14"/>
        <color rgb="FFFFFFFF"/>
        <rFont val="Calibri"/>
        <scheme val="minor"/>
      </rPr>
      <t>)</t>
    </r>
  </si>
  <si>
    <t>Notes</t>
  </si>
  <si>
    <t>Categorical Graphic</t>
  </si>
  <si>
    <t>Broad Link</t>
  </si>
  <si>
    <t># Pages</t>
  </si>
  <si>
    <t>URL to Example/Mention/Article/Documentation</t>
  </si>
  <si>
    <t>Amazon Music</t>
  </si>
  <si>
    <t>Amazon Music Recap</t>
  </si>
  <si>
    <t>https://www.usatoday.com/story/entertainment/2025/12/02/2025-year-end-wrapped-recaps-guide/87567558007/</t>
  </si>
  <si>
    <t>Apple Books</t>
  </si>
  <si>
    <t>Apple Books Year in Review</t>
  </si>
  <si>
    <t>https://appleinsider.com/inside/apple-services/tips/how-to-see-all-the-books-you-read-in-2025-with-apple-books</t>
  </si>
  <si>
    <t>Apple Music</t>
  </si>
  <si>
    <t>Apple Music Replay</t>
  </si>
  <si>
    <t>https://techcrunch.com/2025/12/15/snapchat-rolls-out-its-end-of-year-recaps/</t>
  </si>
  <si>
    <t>Associated Press</t>
  </si>
  <si>
    <t>Associated Press Year in Review</t>
  </si>
  <si>
    <t>https://www.ap.org/news-highlights/spotlights/2025/2025-year-in-review/</t>
  </si>
  <si>
    <t>https://www.backblaze.com/blog/backblaze-drive-stats-for-2025/</t>
  </si>
  <si>
    <t>Carrot Weather</t>
  </si>
  <si>
    <t>Year in Review</t>
  </si>
  <si>
    <t>https://www.howtogeek.com/services-for-an-epic-wrapped-collection/</t>
  </si>
  <si>
    <t>ChatGPT</t>
  </si>
  <si>
    <t>Your Year with ChatGPT</t>
  </si>
  <si>
    <t>https://www.theverge.com/news/837280/spotify-wrapped-2025-recap-annual-best-of-data</t>
  </si>
  <si>
    <t>Most amount of visuals</t>
  </si>
  <si>
    <t>https://radar.cloudflare.com/year-in-review/2025</t>
  </si>
  <si>
    <t>Crunchyroll</t>
  </si>
  <si>
    <t>Crunchyroll Arc</t>
  </si>
  <si>
    <t>https://www.crunchyroll.com/news/announcements/2025/12/15/crunchyroll-arc-2025-anime-year-in-review</t>
  </si>
  <si>
    <t>Daylio</t>
  </si>
  <si>
    <t>Year in Pixel</t>
  </si>
  <si>
    <t>Deezer</t>
  </si>
  <si>
    <t>My Deezer Year</t>
  </si>
  <si>
    <t>https://techcrunch.com/2025/12/06/spotify-wrapped-2024-is-almost-here-its-time-to-explore-all-the-copycats/</t>
  </si>
  <si>
    <t>Discord</t>
  </si>
  <si>
    <t>Discord Checkpoint</t>
  </si>
  <si>
    <t>Dunkin</t>
  </si>
  <si>
    <t>Dunkin Year in Review</t>
  </si>
  <si>
    <t>https://www.businessinsider.com/spotify-linkedin-youtube-partiful-straval-recaps-2025-12</t>
  </si>
  <si>
    <t>Duolingo Year in Review</t>
  </si>
  <si>
    <t>Example</t>
  </si>
  <si>
    <t>https://people.com/uber-launches-youber-2025-a-personalized-year-in-review-exclusive-11868051</t>
  </si>
  <si>
    <t>Year in Sleep Review</t>
  </si>
  <si>
    <t>https://www.garmin.com/en-US/blog/general/2025-garmin-connect-data-report/</t>
  </si>
  <si>
    <t>https://lifehacker.com/health/garmin-year-in-review-connect-plus-feature</t>
  </si>
  <si>
    <t>Goodreads</t>
  </si>
  <si>
    <t>Year in Books</t>
  </si>
  <si>
    <t>https://www.goodreads.com/blog/show/3064-get-ready-for-year-in-books-2025</t>
  </si>
  <si>
    <t>https://trends.withgoogle.com/year-in-search/2025/us/</t>
  </si>
  <si>
    <t>Google Photos</t>
  </si>
  <si>
    <t>2025 Recap</t>
  </si>
  <si>
    <t>https://blog.google/products-and-platforms/products/photos/google-photos-2025-recap/</t>
  </si>
  <si>
    <t>Hevy</t>
  </si>
  <si>
    <t>Hevy Year in Review</t>
  </si>
  <si>
    <t>Hulu</t>
  </si>
  <si>
    <t>Instacart</t>
  </si>
  <si>
    <t>Year In Review</t>
  </si>
  <si>
    <t>https://www.reddit.com/r/crowbro/comments/1hd1pvt/did_you_know_instacart_does_a_yearly_wrapup_guess/</t>
  </si>
  <si>
    <t>last.fm</t>
  </si>
  <si>
    <t>Playback</t>
  </si>
  <si>
    <t>https://www.last.fm/user/alex_ferguson/listening-report/year/2025</t>
  </si>
  <si>
    <t>Kindle</t>
  </si>
  <si>
    <t>Kindle Unlimited Year Yearbook</t>
  </si>
  <si>
    <t>https://www.facebook.com/groups/LitRPG.books/posts/25880895524840439/</t>
  </si>
  <si>
    <t>Letterboxd Year in Review</t>
  </si>
  <si>
    <t>https://letterboxd.com/journal/2025-letterboxd-year-in-review-faq/</t>
  </si>
  <si>
    <t>LinkedIn</t>
  </si>
  <si>
    <t>LinkedIn Year in Review</t>
  </si>
  <si>
    <t>Monzo</t>
  </si>
  <si>
    <t>Year in Monzo</t>
  </si>
  <si>
    <t>https://mashable.com/article/monzo-wrapped-end-of-year</t>
  </si>
  <si>
    <t>MyAnimeList</t>
  </si>
  <si>
    <t>MAL Wrap-Up</t>
  </si>
  <si>
    <t>https://myanimelist.net/forum/?topicid=2247124</t>
  </si>
  <si>
    <t>https://about.netflix.com/en/news/what-we-watched-the-second-half-of-2025</t>
  </si>
  <si>
    <t>Nintendo</t>
  </si>
  <si>
    <t>Nintendo Switch Year in Review</t>
  </si>
  <si>
    <t>Year in Games</t>
  </si>
  <si>
    <t>https://ouraring.com/blog/2025-year-in-review/</t>
  </si>
  <si>
    <t>Pandora</t>
  </si>
  <si>
    <t>Pandora Year in Review</t>
  </si>
  <si>
    <t>Partiful</t>
  </si>
  <si>
    <t>Partiful After Party</t>
  </si>
  <si>
    <t>PlayStation</t>
  </si>
  <si>
    <t>PlayStation Wrap-Up</t>
  </si>
  <si>
    <t>Peloton</t>
  </si>
  <si>
    <t>Victory Lap</t>
  </si>
  <si>
    <t>https://www.pelobuddy.com/year-review-victory-lap-2025/</t>
  </si>
  <si>
    <t>https://playback.pocketcasts.com/</t>
  </si>
  <si>
    <t>Reclaim</t>
  </si>
  <si>
    <t>Reclaim Recap</t>
  </si>
  <si>
    <t>Reddit</t>
  </si>
  <si>
    <t>Reddit Recap</t>
  </si>
  <si>
    <t>https://www.makeuseof.com/spotify-wrapped-copycats/</t>
  </si>
  <si>
    <t>SoundCloud</t>
  </si>
  <si>
    <t>SoundCloud Your Playback</t>
  </si>
  <si>
    <t>Spotify Wrapped</t>
  </si>
  <si>
    <t>Starbucks</t>
  </si>
  <si>
    <t>Starbucks Blend - Year in Review</t>
  </si>
  <si>
    <t>https://www.reddit.com/r/socialmedia/comments/18cptis/what_are_some_other_services_that_offer_yearend/</t>
  </si>
  <si>
    <t>Steam</t>
  </si>
  <si>
    <t>Steam Replay</t>
  </si>
  <si>
    <t>Storygraph</t>
  </si>
  <si>
    <t>Wrap-Up</t>
  </si>
  <si>
    <t>https://www.reddit.com/r/TheStoryGraph/comments/1q0daqi/2025_wrap_up/</t>
  </si>
  <si>
    <t>Year in Sport</t>
  </si>
  <si>
    <t>https://press.strava.com/articles/strava-releases-12th-annual-year-in-sport-trend-report-2025</t>
  </si>
  <si>
    <t>Tidal</t>
  </si>
  <si>
    <t>Tidal Recap</t>
  </si>
  <si>
    <t>https://uk.tinderpressroom.com/TINDERS-YEAR-IN-SWIPE-TM-2025</t>
  </si>
  <si>
    <t>Year on Tiktok</t>
  </si>
  <si>
    <t>https://newsroom.tiktok.com/tiktok-reveals-the-top-artists-and-songs-of-2025?lang=en</t>
  </si>
  <si>
    <t>Twitch Recap</t>
  </si>
  <si>
    <t>https://www.usnews.com/news/business/articles/2025-12-03/how-to-find-spotify-wrapped-youtube-recap-and-more-as-2025-comes-to-a-close</t>
  </si>
  <si>
    <t>Uber</t>
  </si>
  <si>
    <t>Youber</t>
  </si>
  <si>
    <t>UDisc Replay</t>
  </si>
  <si>
    <t>https://udisc.com/replay</t>
  </si>
  <si>
    <t>Whoop</t>
  </si>
  <si>
    <t>Whoop Year in Review</t>
  </si>
  <si>
    <t>https://www.whoop.com/us/en/thelocker/whoop-year-in-review-2025/?srsltid=AfmBOopaoiGLyZGjitzfFXjSMTJlFW-nupcZ7qdcfw2Jpjm70myR3odD</t>
  </si>
  <si>
    <t>Wikipedia Year in Review</t>
  </si>
  <si>
    <t>https://wikimediafoundation.org/wikipedia-year-in-review-2025/</t>
  </si>
  <si>
    <t>Xbox</t>
  </si>
  <si>
    <t>Xbox Year In Review</t>
  </si>
  <si>
    <t>Youtube Recap</t>
  </si>
  <si>
    <t>Youtube Music</t>
  </si>
  <si>
    <t>Youtube Music Recap</t>
  </si>
  <si>
    <t>Device (Vertical / Horizontal)</t>
  </si>
  <si>
    <t>Vertical</t>
  </si>
  <si>
    <t>Horizontal</t>
  </si>
  <si>
    <t>vertical</t>
  </si>
  <si>
    <t>Example #1 Link</t>
  </si>
  <si>
    <t>Example #2 Link</t>
  </si>
  <si>
    <t>Personal Summary</t>
  </si>
  <si>
    <t>Personalized, Broad, or Both</t>
  </si>
  <si>
    <t>Example 1</t>
  </si>
  <si>
    <t>Example 2</t>
  </si>
  <si>
    <t>~20</t>
  </si>
  <si>
    <t>Personalized</t>
  </si>
  <si>
    <t>~10</t>
  </si>
  <si>
    <t>~12</t>
  </si>
  <si>
    <t xml:space="preserve">BGStats </t>
  </si>
  <si>
    <t>Year Stats 2025</t>
  </si>
  <si>
    <t>https://www.bgstatsapp.com/2025/12/11/year-stats-2025/</t>
  </si>
  <si>
    <t>1</t>
  </si>
  <si>
    <t>~11</t>
  </si>
  <si>
    <t>~15</t>
  </si>
  <si>
    <t>~9</t>
  </si>
  <si>
    <t>~8</t>
  </si>
  <si>
    <t>~2</t>
  </si>
  <si>
    <t>~4</t>
  </si>
  <si>
    <t>might not be real</t>
  </si>
  <si>
    <t>~6</t>
  </si>
  <si>
    <t>~3</t>
  </si>
  <si>
    <t>Year in Film</t>
  </si>
  <si>
    <t>N/A</t>
  </si>
  <si>
    <t>Both</t>
  </si>
  <si>
    <t>19</t>
  </si>
  <si>
    <t>~7</t>
  </si>
  <si>
    <t>~18</t>
  </si>
  <si>
    <t>~1</t>
  </si>
  <si>
    <t>~24</t>
  </si>
  <si>
    <t>~23</t>
  </si>
  <si>
    <t>Broad</t>
  </si>
  <si>
    <t>Cant find any</t>
  </si>
  <si>
    <t>Cant find any for this year</t>
  </si>
  <si>
    <t>Made by self wrap</t>
  </si>
  <si>
    <t>No wrap this year</t>
  </si>
  <si>
    <t>Provider's Name for the Summary</t>
  </si>
  <si>
    <t xml:space="preserve">Spotify, Apple Music, Youtube, Amazon, Snapchat, SoundCloud </t>
  </si>
  <si>
    <t>Spotify Wrapped, Apple Replay, Youtube Recap, Amazon Delivered, Snapchat Recap, SoundCloud Your Playback</t>
  </si>
  <si>
    <t>Spotify, Youtube, Apple, Amazon, Twitch, Duolingo</t>
  </si>
  <si>
    <t>Spotify Wrapped, Youtube Recap, Apple Replay, Amazon Delivered, Twitch Recap, Duolingo Year in Review</t>
  </si>
  <si>
    <t>Youtube, LinkedIn, Spotify, Partiful, Snapchat, Dunkin</t>
  </si>
  <si>
    <t>Youtube Recap, LinkedIn Year in Review, Spotify Wrapped, Partiful After Party, Snapchar Recap, Dunkin Year in Review</t>
  </si>
  <si>
    <t>Spotify, Youtube Music, Apple Music, Instagram, Facebook, Snapchat</t>
  </si>
  <si>
    <t>Spotify Wrapped, Youtube Music Recap, Apple Music Replay, Instagram Playback, Facebook Year Together, Snapchat Recap</t>
  </si>
  <si>
    <t>https://www.popsci.com/diy/year-in-review-apps/</t>
  </si>
  <si>
    <t>Spotify, Apple Music, Amazon Music, Duolingo, Snapchat</t>
  </si>
  <si>
    <t>Spotify Wrapped, Apple Replay, Amazon Music Recap, Duolingo Year in Review, Snapchat Recap</t>
  </si>
  <si>
    <t>Youtube, Spotify, Youtube Music</t>
  </si>
  <si>
    <t>Youtube Recap, Spotify Wrapped, Youtube Music Recap</t>
  </si>
  <si>
    <t>https://deadline.com/2025/12/youtube-recap-feature-top-trends-creators-2025-1236632997/</t>
  </si>
  <si>
    <t>Snapchat</t>
  </si>
  <si>
    <t>Snapchat Recap</t>
  </si>
  <si>
    <t>https://www.mymobileindia.com/snapchat-starts-rolling-out-2025-recaps-heres-how-to-view-your-year-in-review/</t>
  </si>
  <si>
    <t>Uber, Spotify, Duolingo, Youtube</t>
  </si>
  <si>
    <t>Youber, Spotify Wrapped, Duolingo Year in Review, Youtube Recap</t>
  </si>
  <si>
    <t>Row Labels</t>
  </si>
  <si>
    <t>Sum of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</si>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</sst>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00000"/>
      <name val="Calibri"/>
      <scheme val="minor"/>
    </font>
    <font>
      <i/>
      <sz val="14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theme="1"/>
      <name val="Avenir Next LT Pro Demi"/>
    </font>
    <font>
      <b/>
      <sz val="14"/>
      <color rgb="FFFFFFFF"/>
      <name val="Calibri"/>
      <scheme val="minor"/>
    </font>
    <font>
      <b/>
      <i/>
      <sz val="14"/>
      <color rgb="FFFFFFFF"/>
      <name val="Calibri"/>
      <scheme val="minor"/>
    </font>
    <font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7" fillId="3" borderId="0" xfId="0" applyFont="1" applyFill="1"/>
    <xf numFmtId="0" fontId="7" fillId="4" borderId="0" xfId="0" applyFont="1" applyFill="1"/>
    <xf numFmtId="0" fontId="10" fillId="0" borderId="0" xfId="0" applyFont="1"/>
    <xf numFmtId="0" fontId="5" fillId="0" borderId="0" xfId="0" applyFont="1" applyAlignment="1">
      <alignment wrapText="1"/>
    </xf>
    <xf numFmtId="49" fontId="2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7" fillId="5" borderId="0" xfId="0" applyFont="1" applyFill="1"/>
    <xf numFmtId="0" fontId="3" fillId="0" borderId="0" xfId="1" applyFill="1"/>
    <xf numFmtId="0" fontId="7" fillId="6" borderId="0" xfId="0" applyFont="1" applyFill="1"/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/>
    <xf numFmtId="0" fontId="16" fillId="0" borderId="0" xfId="0" applyFont="1"/>
    <xf numFmtId="0" fontId="11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0" fontId="3" fillId="0" borderId="0" xfId="1" applyAlignment="1">
      <alignment wrapText="1"/>
    </xf>
    <xf numFmtId="0" fontId="3" fillId="0" borderId="0" xfId="1" applyFill="1" applyAlignment="1">
      <alignment wrapText="1"/>
    </xf>
    <xf numFmtId="0" fontId="2" fillId="0" borderId="0" xfId="0" applyFont="1" applyAlignment="1">
      <alignment wrapText="1"/>
    </xf>
    <xf numFmtId="0" fontId="17" fillId="0" borderId="0" xfId="0" applyFont="1"/>
    <xf numFmtId="0" fontId="11" fillId="10" borderId="0" xfId="0" applyFont="1" applyFill="1" applyAlignment="1">
      <alignment vertical="center"/>
    </xf>
    <xf numFmtId="0" fontId="11" fillId="10" borderId="0" xfId="0" applyFont="1" applyFill="1"/>
    <xf numFmtId="0" fontId="15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3" fillId="2" borderId="0" xfId="0" applyFont="1" applyFill="1"/>
    <xf numFmtId="0" fontId="0" fillId="2" borderId="0" xfId="0" applyFill="1"/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1" applyAlignment="1">
      <alignment vertical="top" wrapText="1"/>
    </xf>
    <xf numFmtId="0" fontId="11" fillId="2" borderId="1" xfId="0" applyFont="1" applyFill="1" applyBorder="1" applyAlignment="1">
      <alignment horizontal="left" vertical="center"/>
    </xf>
    <xf numFmtId="0" fontId="18" fillId="11" borderId="0" xfId="0" applyFont="1" applyFill="1" applyAlignment="1">
      <alignment horizontal="right"/>
    </xf>
    <xf numFmtId="164" fontId="18" fillId="11" borderId="0" xfId="0" applyNumberFormat="1" applyFont="1" applyFill="1" applyAlignment="1">
      <alignment horizontal="right"/>
    </xf>
    <xf numFmtId="0" fontId="18" fillId="5" borderId="0" xfId="0" applyFont="1" applyFill="1"/>
    <xf numFmtId="164" fontId="18" fillId="5" borderId="0" xfId="0" applyNumberFormat="1" applyFont="1" applyFill="1"/>
    <xf numFmtId="0" fontId="18" fillId="11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top" wrapText="1"/>
    </xf>
    <xf numFmtId="0" fontId="19" fillId="3" borderId="3" xfId="1" applyFont="1" applyFill="1" applyBorder="1" applyAlignment="1">
      <alignment horizontal="center" vertical="top" wrapText="1"/>
    </xf>
    <xf numFmtId="0" fontId="19" fillId="3" borderId="4" xfId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Backblaze</c:v>
                </c:pt>
                <c:pt idx="1">
                  <c:v>Cloudflare</c:v>
                </c:pt>
                <c:pt idx="2">
                  <c:v>Duolingo</c:v>
                </c:pt>
                <c:pt idx="3">
                  <c:v>Eight Sleep</c:v>
                </c:pt>
                <c:pt idx="4">
                  <c:v>Garmin</c:v>
                </c:pt>
                <c:pt idx="5">
                  <c:v>Google</c:v>
                </c:pt>
                <c:pt idx="6">
                  <c:v>Letterboxd</c:v>
                </c:pt>
                <c:pt idx="7">
                  <c:v>Netflix</c:v>
                </c:pt>
                <c:pt idx="8">
                  <c:v>NYT Games</c:v>
                </c:pt>
                <c:pt idx="9">
                  <c:v>Oura</c:v>
                </c:pt>
                <c:pt idx="10">
                  <c:v>Pocket Casts</c:v>
                </c:pt>
                <c:pt idx="11">
                  <c:v>Spotify</c:v>
                </c:pt>
                <c:pt idx="12">
                  <c:v>Strava</c:v>
                </c:pt>
                <c:pt idx="13">
                  <c:v>Tinder</c:v>
                </c:pt>
                <c:pt idx="14">
                  <c:v>Tiktok</c:v>
                </c:pt>
                <c:pt idx="15">
                  <c:v>UDisc</c:v>
                </c:pt>
                <c:pt idx="16">
                  <c:v>Wikipedia</c:v>
                </c:pt>
                <c:pt idx="17">
                  <c:v>Youtube</c:v>
                </c:pt>
                <c:pt idx="18">
                  <c:v>Dead By Daylight</c:v>
                </c:pt>
                <c:pt idx="19">
                  <c:v>eBird</c:v>
                </c:pt>
                <c:pt idx="20">
                  <c:v>Chess</c:v>
                </c:pt>
                <c:pt idx="21">
                  <c:v>Games Industry</c:v>
                </c:pt>
                <c:pt idx="22">
                  <c:v>Epic Games</c:v>
                </c:pt>
                <c:pt idx="23">
                  <c:v>Collector Daily</c:v>
                </c:pt>
                <c:pt idx="24">
                  <c:v>Stack Overflow</c:v>
                </c:pt>
                <c:pt idx="25">
                  <c:v>Statsig</c:v>
                </c:pt>
              </c:strCache>
            </c:str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F-4225-840E-C87F6102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750919"/>
        <c:axId val="757805575"/>
      </c:barChart>
      <c:catAx>
        <c:axId val="82775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05575"/>
        <c:crosses val="autoZero"/>
        <c:auto val="1"/>
        <c:lblAlgn val="ctr"/>
        <c:lblOffset val="100"/>
        <c:noMultiLvlLbl val="0"/>
      </c:catAx>
      <c:valAx>
        <c:axId val="75780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5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[Found Year-End Wrap-Ups.xlsx]Sheet2!PivotTable1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'Count' by 'Provider'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Sheet2!$A$3:$A$29</c:f>
              <c:strCache>
                <c:ptCount val="26"/>
                <c:pt idx="0">
                  <c:v>Cloudflare</c:v>
                </c:pt>
                <c:pt idx="1">
                  <c:v>Stack Overflow</c:v>
                </c:pt>
                <c:pt idx="2">
                  <c:v>eBird</c:v>
                </c:pt>
                <c:pt idx="3">
                  <c:v>Wikipedia</c:v>
                </c:pt>
                <c:pt idx="4">
                  <c:v>Epic Games</c:v>
                </c:pt>
                <c:pt idx="5">
                  <c:v>Duolingo</c:v>
                </c:pt>
                <c:pt idx="6">
                  <c:v>Backblaze</c:v>
                </c:pt>
                <c:pt idx="7">
                  <c:v>Games Industry</c:v>
                </c:pt>
                <c:pt idx="8">
                  <c:v>Garmin</c:v>
                </c:pt>
                <c:pt idx="9">
                  <c:v>Chess</c:v>
                </c:pt>
                <c:pt idx="10">
                  <c:v>Tinder</c:v>
                </c:pt>
                <c:pt idx="11">
                  <c:v>Strava</c:v>
                </c:pt>
                <c:pt idx="12">
                  <c:v>Collector Daily</c:v>
                </c:pt>
                <c:pt idx="13">
                  <c:v>Dead By Daylight</c:v>
                </c:pt>
                <c:pt idx="14">
                  <c:v>Pocket Casts</c:v>
                </c:pt>
                <c:pt idx="15">
                  <c:v>Spotify</c:v>
                </c:pt>
                <c:pt idx="16">
                  <c:v>Google</c:v>
                </c:pt>
                <c:pt idx="17">
                  <c:v>Statsig</c:v>
                </c:pt>
                <c:pt idx="18">
                  <c:v>Youtube</c:v>
                </c:pt>
                <c:pt idx="19">
                  <c:v>Tiktok</c:v>
                </c:pt>
                <c:pt idx="20">
                  <c:v>Netflix</c:v>
                </c:pt>
                <c:pt idx="21">
                  <c:v>UDisc</c:v>
                </c:pt>
                <c:pt idx="22">
                  <c:v>NYT Games</c:v>
                </c:pt>
                <c:pt idx="23">
                  <c:v>Eight Sleep</c:v>
                </c:pt>
                <c:pt idx="24">
                  <c:v>Oura</c:v>
                </c:pt>
                <c:pt idx="25">
                  <c:v>Letterboxd</c:v>
                </c:pt>
              </c:strCache>
            </c:strRef>
          </c:cat>
          <c:val>
            <c:numRef>
              <c:f>Sheet2!$B$3:$B$29</c:f>
              <c:numCache>
                <c:formatCode>General</c:formatCode>
                <c:ptCount val="26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A-4B59-85EB-133C609DB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332807176"/>
        <c:axId val="332889096"/>
      </c:barChart>
      <c:catAx>
        <c:axId val="33280717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89096"/>
        <c:crosses val="autoZero"/>
        <c:auto val="1"/>
        <c:lblAlgn val="ctr"/>
        <c:lblOffset val="100"/>
        <c:noMultiLvlLbl val="0"/>
      </c:catAx>
      <c:valAx>
        <c:axId val="33288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0717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6</xdr:row>
      <xdr:rowOff>114300</xdr:rowOff>
    </xdr:from>
    <xdr:to>
      <xdr:col>14</xdr:col>
      <xdr:colOff>561975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533A0-3444-F509-6C1A-1032FD96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Count' by 'Provider'&#10;&#10;Description automatically generated">
          <a:extLst>
            <a:ext uri="{FF2B5EF4-FFF2-40B4-BE49-F238E27FC236}">
              <a16:creationId xmlns:a16="http://schemas.microsoft.com/office/drawing/2014/main" id="{68D886AB-0256-8BFE-5850-03F455FC1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5.55235208333" createdVersion="8" refreshedVersion="8" minRefreshableVersion="3" recordCount="26" xr:uid="{2156E794-5B29-420E-AC58-6804A5A134A7}">
  <cacheSource type="worksheet">
    <worksheetSource ref="A1:B27" sheet="Sheet1"/>
  </cacheSource>
  <cacheFields count="2">
    <cacheField name="Provider" numFmtId="0">
      <sharedItems count="26">
        <s v="Backblaze"/>
        <s v="Cloudflare"/>
        <s v="Duolingo"/>
        <s v="Eight Sleep"/>
        <s v="Garmin"/>
        <s v="Google"/>
        <s v="Letterboxd"/>
        <s v="Netflix"/>
        <s v="NYT Games"/>
        <s v="Oura"/>
        <s v="Pocket Casts"/>
        <s v="Spotify"/>
        <s v="Strava"/>
        <s v="Tinder"/>
        <s v="Tiktok"/>
        <s v="UDisc"/>
        <s v="Wikipedia"/>
        <s v="Youtube"/>
        <s v="Dead By Daylight"/>
        <s v="eBird"/>
        <s v="Chess"/>
        <s v="Games Industry"/>
        <s v="Epic Games"/>
        <s v="Collector Daily"/>
        <s v="Stack Overflow"/>
        <s v="Statsig"/>
      </sharedItems>
    </cacheField>
    <cacheField name="Count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3"/>
  </r>
  <r>
    <x v="1"/>
    <n v="8"/>
  </r>
  <r>
    <x v="2"/>
    <n v="3"/>
  </r>
  <r>
    <x v="3"/>
    <n v="1"/>
  </r>
  <r>
    <x v="4"/>
    <n v="2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4"/>
  </r>
  <r>
    <x v="17"/>
    <n v="1"/>
  </r>
  <r>
    <x v="18"/>
    <n v="1"/>
  </r>
  <r>
    <x v="19"/>
    <n v="4"/>
  </r>
  <r>
    <x v="20"/>
    <n v="1"/>
  </r>
  <r>
    <x v="21"/>
    <n v="2"/>
  </r>
  <r>
    <x v="22"/>
    <n v="3"/>
  </r>
  <r>
    <x v="23"/>
    <n v="1"/>
  </r>
  <r>
    <x v="24"/>
    <n v="4"/>
  </r>
  <r>
    <x v="2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D6750-3FD8-435E-A017-7951DE484906}" name="PivotTable1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29" firstHeaderRow="1" firstDataRow="1" firstDataCol="1"/>
  <pivotFields count="2">
    <pivotField axis="axisRow" showAll="0" sortType="descending">
      <items count="27">
        <item x="0"/>
        <item x="20"/>
        <item x="1"/>
        <item x="23"/>
        <item x="18"/>
        <item x="2"/>
        <item x="19"/>
        <item x="3"/>
        <item x="22"/>
        <item x="21"/>
        <item x="4"/>
        <item x="5"/>
        <item x="6"/>
        <item x="7"/>
        <item x="8"/>
        <item x="9"/>
        <item x="10"/>
        <item x="11"/>
        <item x="24"/>
        <item x="25"/>
        <item x="12"/>
        <item x="14"/>
        <item x="13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7">
    <i>
      <x v="2"/>
    </i>
    <i>
      <x v="18"/>
    </i>
    <i>
      <x v="6"/>
    </i>
    <i>
      <x v="24"/>
    </i>
    <i>
      <x v="8"/>
    </i>
    <i>
      <x v="5"/>
    </i>
    <i>
      <x/>
    </i>
    <i>
      <x v="9"/>
    </i>
    <i>
      <x v="10"/>
    </i>
    <i>
      <x v="1"/>
    </i>
    <i>
      <x v="22"/>
    </i>
    <i>
      <x v="20"/>
    </i>
    <i>
      <x v="3"/>
    </i>
    <i>
      <x v="4"/>
    </i>
    <i>
      <x v="16"/>
    </i>
    <i>
      <x v="17"/>
    </i>
    <i>
      <x v="11"/>
    </i>
    <i>
      <x v="19"/>
    </i>
    <i>
      <x v="25"/>
    </i>
    <i>
      <x v="21"/>
    </i>
    <i>
      <x v="13"/>
    </i>
    <i>
      <x v="23"/>
    </i>
    <i>
      <x v="14"/>
    </i>
    <i>
      <x v="7"/>
    </i>
    <i>
      <x v="15"/>
    </i>
    <i>
      <x v="12"/>
    </i>
    <i t="grand">
      <x/>
    </i>
  </rowItems>
  <colItems count="1">
    <i/>
  </colItems>
  <dataFields count="1">
    <dataField name="Sum of Count" fld="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techcrunch.com/2025/12/06/spotify-wrapped-2024-is-almost-here-its-time-to-explore-all-the-copycats/" TargetMode="External"/><Relationship Id="rId21" Type="http://schemas.openxmlformats.org/officeDocument/2006/relationships/hyperlink" Target="https://techcrunch.com/2025/12/06/spotify-wrapped-2024-is-almost-here-its-time-to-explore-all-the-copycats/" TargetMode="External"/><Relationship Id="rId42" Type="http://schemas.openxmlformats.org/officeDocument/2006/relationships/hyperlink" Target="https://mashable.com/article/monzo-wrapped-end-of-year" TargetMode="External"/><Relationship Id="rId47" Type="http://schemas.openxmlformats.org/officeDocument/2006/relationships/hyperlink" Target="https://udisc.com/replay" TargetMode="External"/><Relationship Id="rId63" Type="http://schemas.openxmlformats.org/officeDocument/2006/relationships/hyperlink" Target="https://press.strava.com/articles/strava-releases-12th-annual-year-in-sport-trend-report-2025" TargetMode="External"/><Relationship Id="rId68" Type="http://schemas.openxmlformats.org/officeDocument/2006/relationships/hyperlink" Target="https://radar.cloudflare.com/year-in-review/2025" TargetMode="External"/><Relationship Id="rId7" Type="http://schemas.openxmlformats.org/officeDocument/2006/relationships/hyperlink" Target="https://www.ap.org/news-highlights/spotlights/2025/2025-year-in-review/" TargetMode="External"/><Relationship Id="rId2" Type="http://schemas.openxmlformats.org/officeDocument/2006/relationships/hyperlink" Target="https://www.usatoday.com/story/entertainment/2025/12/02/2025-year-end-wrapped-recaps-guide/87567558007/" TargetMode="External"/><Relationship Id="rId16" Type="http://schemas.openxmlformats.org/officeDocument/2006/relationships/hyperlink" Target="https://techcrunch.com/2025/12/06/spotify-wrapped-2024-is-almost-here-its-time-to-explore-all-the-copycats/" TargetMode="External"/><Relationship Id="rId29" Type="http://schemas.openxmlformats.org/officeDocument/2006/relationships/hyperlink" Target="https://www.howtogeek.com/services-for-an-epic-wrapped-collection/" TargetMode="External"/><Relationship Id="rId11" Type="http://schemas.openxmlformats.org/officeDocument/2006/relationships/hyperlink" Target="https://www.businessinsider.com/spotify-linkedin-youtube-partiful-straval-recaps-2025-12" TargetMode="External"/><Relationship Id="rId24" Type="http://schemas.openxmlformats.org/officeDocument/2006/relationships/hyperlink" Target="https://techcrunch.com/2025/12/06/spotify-wrapped-2024-is-almost-here-its-time-to-explore-all-the-copycats/" TargetMode="External"/><Relationship Id="rId32" Type="http://schemas.openxmlformats.org/officeDocument/2006/relationships/hyperlink" Target="https://www.theverge.com/news/837280/spotify-wrapped-2025-recap-annual-best-of-data" TargetMode="External"/><Relationship Id="rId37" Type="http://schemas.openxmlformats.org/officeDocument/2006/relationships/hyperlink" Target="https://lifehacker.com/health/garmin-year-in-review-connect-plus-feature" TargetMode="External"/><Relationship Id="rId40" Type="http://schemas.openxmlformats.org/officeDocument/2006/relationships/hyperlink" Target="https://www.goodreads.com/blog/show/3064-get-ready-for-year-in-books-2025" TargetMode="External"/><Relationship Id="rId45" Type="http://schemas.openxmlformats.org/officeDocument/2006/relationships/hyperlink" Target="https://www.facebook.com/groups/LitRPG.books/posts/25880895524840439/" TargetMode="External"/><Relationship Id="rId53" Type="http://schemas.openxmlformats.org/officeDocument/2006/relationships/hyperlink" Target="https://www.youtube.com/trends/report/tr25-global-trends-report/" TargetMode="External"/><Relationship Id="rId58" Type="http://schemas.openxmlformats.org/officeDocument/2006/relationships/hyperlink" Target="https://playback.pocketcasts.com/" TargetMode="External"/><Relationship Id="rId66" Type="http://schemas.openxmlformats.org/officeDocument/2006/relationships/hyperlink" Target="https://www.garmin.com/en-US/blog/general/2025-garmin-connect-data-report/" TargetMode="External"/><Relationship Id="rId5" Type="http://schemas.openxmlformats.org/officeDocument/2006/relationships/hyperlink" Target="https://www.whoop.com/us/en/thelocker/whoop-year-in-review-2025/?srsltid=AfmBOopaoiGLyZGjitzfFXjSMTJlFW-nupcZ7qdcfw2Jpjm70myR3odD" TargetMode="External"/><Relationship Id="rId61" Type="http://schemas.openxmlformats.org/officeDocument/2006/relationships/hyperlink" Target="https://www.instagram.com/p/DS76U2nDRzU/?img_index=1" TargetMode="External"/><Relationship Id="rId19" Type="http://schemas.openxmlformats.org/officeDocument/2006/relationships/hyperlink" Target="https://techcrunch.com/2025/12/06/spotify-wrapped-2024-is-almost-here-its-time-to-explore-all-the-copycats/" TargetMode="External"/><Relationship Id="rId14" Type="http://schemas.openxmlformats.org/officeDocument/2006/relationships/hyperlink" Target="https://www.usnews.com/news/business/articles/2025-12-03/how-to-find-spotify-wrapped-youtube-recap-and-more-as-2025-comes-to-a-close" TargetMode="External"/><Relationship Id="rId22" Type="http://schemas.openxmlformats.org/officeDocument/2006/relationships/hyperlink" Target="https://techcrunch.com/2025/12/06/spotify-wrapped-2024-is-almost-here-its-time-to-explore-all-the-copycats/" TargetMode="External"/><Relationship Id="rId27" Type="http://schemas.openxmlformats.org/officeDocument/2006/relationships/hyperlink" Target="https://www.howtogeek.com/services-for-an-epic-wrapped-collection/" TargetMode="External"/><Relationship Id="rId30" Type="http://schemas.openxmlformats.org/officeDocument/2006/relationships/hyperlink" Target="https://www.reddit.com/r/socialmedia/comments/18cptis/what_are_some_other_services_that_offer_yearend/" TargetMode="External"/><Relationship Id="rId35" Type="http://schemas.openxmlformats.org/officeDocument/2006/relationships/hyperlink" Target="https://www.theverge.com/news/837280/spotify-wrapped-2025-recap-annual-best-of-data" TargetMode="External"/><Relationship Id="rId43" Type="http://schemas.openxmlformats.org/officeDocument/2006/relationships/hyperlink" Target="https://www.last.fm/user/alex_ferguson/listening-report/year/2025" TargetMode="External"/><Relationship Id="rId48" Type="http://schemas.openxmlformats.org/officeDocument/2006/relationships/hyperlink" Target="https://www.crunchyroll.com/news/announcements/2025/12/15/crunchyroll-arc-2025-anime-year-in-review" TargetMode="External"/><Relationship Id="rId56" Type="http://schemas.openxmlformats.org/officeDocument/2006/relationships/hyperlink" Target="https://blog.duolingo.com/2025-duolingo-language-report/" TargetMode="External"/><Relationship Id="rId64" Type="http://schemas.openxmlformats.org/officeDocument/2006/relationships/hyperlink" Target="https://trends.withgoogle.com/year-in-search/2025/us/" TargetMode="External"/><Relationship Id="rId69" Type="http://schemas.openxmlformats.org/officeDocument/2006/relationships/hyperlink" Target="https://www.backblaze.com/blog/backblaze-drive-stats-for-2025/" TargetMode="External"/><Relationship Id="rId8" Type="http://schemas.openxmlformats.org/officeDocument/2006/relationships/hyperlink" Target="https://letterboxd.com/journal/2025-letterboxd-year-in-review-faq/" TargetMode="External"/><Relationship Id="rId51" Type="http://schemas.openxmlformats.org/officeDocument/2006/relationships/hyperlink" Target="https://udisc.com/replay" TargetMode="External"/><Relationship Id="rId3" Type="http://schemas.openxmlformats.org/officeDocument/2006/relationships/hyperlink" Target="https://www.usatoday.com/story/entertainment/2025/12/02/2025-year-end-wrapped-recaps-guide/87567558007/" TargetMode="External"/><Relationship Id="rId12" Type="http://schemas.openxmlformats.org/officeDocument/2006/relationships/hyperlink" Target="https://people.com/uber-launches-youber-2025-a-personalized-year-in-review-exclusive-11868051" TargetMode="External"/><Relationship Id="rId17" Type="http://schemas.openxmlformats.org/officeDocument/2006/relationships/hyperlink" Target="https://techcrunch.com/2025/12/06/spotify-wrapped-2024-is-almost-here-its-time-to-explore-all-the-copycats/" TargetMode="External"/><Relationship Id="rId25" Type="http://schemas.openxmlformats.org/officeDocument/2006/relationships/hyperlink" Target="https://techcrunch.com/2025/12/06/spotify-wrapped-2024-is-almost-here-its-time-to-explore-all-the-copycats/" TargetMode="External"/><Relationship Id="rId33" Type="http://schemas.openxmlformats.org/officeDocument/2006/relationships/hyperlink" Target="https://www.theverge.com/news/837280/spotify-wrapped-2025-recap-annual-best-of-data" TargetMode="External"/><Relationship Id="rId38" Type="http://schemas.openxmlformats.org/officeDocument/2006/relationships/hyperlink" Target="https://ouraring.com/blog/2025-year-in-review/" TargetMode="External"/><Relationship Id="rId46" Type="http://schemas.openxmlformats.org/officeDocument/2006/relationships/hyperlink" Target="https://appleinsider.com/inside/apple-services/tips/how-to-see-all-the-books-you-read-in-2025-with-apple-books" TargetMode="External"/><Relationship Id="rId59" Type="http://schemas.openxmlformats.org/officeDocument/2006/relationships/hyperlink" Target="https://www.twitch.tv/annual-recap" TargetMode="External"/><Relationship Id="rId67" Type="http://schemas.openxmlformats.org/officeDocument/2006/relationships/hyperlink" Target="https://uk.tinderpressroom.com/TINDERS-YEAR-IN-SWIPE-TM-2025" TargetMode="External"/><Relationship Id="rId20" Type="http://schemas.openxmlformats.org/officeDocument/2006/relationships/hyperlink" Target="https://techcrunch.com/2025/12/06/spotify-wrapped-2024-is-almost-here-its-time-to-explore-all-the-copycats/" TargetMode="External"/><Relationship Id="rId41" Type="http://schemas.openxmlformats.org/officeDocument/2006/relationships/hyperlink" Target="https://www.reddit.com/r/crowbro/comments/1hd1pvt/did_you_know_instacart_does_a_yearly_wrapup_guess/" TargetMode="External"/><Relationship Id="rId54" Type="http://schemas.openxmlformats.org/officeDocument/2006/relationships/hyperlink" Target="https://newsroom.spotify.com/2025-12-03/wrapped-top-artists-songs-albums-podcasts-audiobooks/" TargetMode="External"/><Relationship Id="rId62" Type="http://schemas.openxmlformats.org/officeDocument/2006/relationships/hyperlink" Target="https://newsroom.tiktok.com/tiktok-reveals-the-top-artists-and-songs-of-2025?lang=en" TargetMode="External"/><Relationship Id="rId1" Type="http://schemas.openxmlformats.org/officeDocument/2006/relationships/hyperlink" Target="https://www.usatoday.com/story/entertainment/2025/12/02/2025-year-end-wrapped-recaps-guide/87567558007/" TargetMode="External"/><Relationship Id="rId6" Type="http://schemas.openxmlformats.org/officeDocument/2006/relationships/hyperlink" Target="https://wikimediafoundation.org/wikipedia-year-in-review-2025/" TargetMode="External"/><Relationship Id="rId15" Type="http://schemas.openxmlformats.org/officeDocument/2006/relationships/hyperlink" Target="https://techcrunch.com/2025/12/15/snapchat-rolls-out-its-end-of-year-recaps/" TargetMode="External"/><Relationship Id="rId23" Type="http://schemas.openxmlformats.org/officeDocument/2006/relationships/hyperlink" Target="https://techcrunch.com/2025/12/06/spotify-wrapped-2024-is-almost-here-its-time-to-explore-all-the-copycats/" TargetMode="External"/><Relationship Id="rId28" Type="http://schemas.openxmlformats.org/officeDocument/2006/relationships/hyperlink" Target="https://www.howtogeek.com/services-for-an-epic-wrapped-collection/" TargetMode="External"/><Relationship Id="rId36" Type="http://schemas.openxmlformats.org/officeDocument/2006/relationships/hyperlink" Target="https://myanimelist.net/forum/?topicid=2247124" TargetMode="External"/><Relationship Id="rId49" Type="http://schemas.openxmlformats.org/officeDocument/2006/relationships/hyperlink" Target="https://blog.google/products-and-platforms/products/photos/google-photos-2025-recap/" TargetMode="External"/><Relationship Id="rId57" Type="http://schemas.openxmlformats.org/officeDocument/2006/relationships/hyperlink" Target="https://www.eightsleep.com/blog/eoy2025/?srsltid=AfmBOoqdjgVw_KNfQhClOrZU9R8XeVfVcni8_NpumqC8juVdFHZy1dF8" TargetMode="External"/><Relationship Id="rId10" Type="http://schemas.openxmlformats.org/officeDocument/2006/relationships/hyperlink" Target="https://www.businessinsider.com/spotify-linkedin-youtube-partiful-straval-recaps-2025-12" TargetMode="External"/><Relationship Id="rId31" Type="http://schemas.openxmlformats.org/officeDocument/2006/relationships/hyperlink" Target="https://www.makeuseof.com/spotify-wrapped-copycats/" TargetMode="External"/><Relationship Id="rId44" Type="http://schemas.openxmlformats.org/officeDocument/2006/relationships/hyperlink" Target="https://playback.pocketcasts.com/" TargetMode="External"/><Relationship Id="rId52" Type="http://schemas.openxmlformats.org/officeDocument/2006/relationships/hyperlink" Target="https://wikimediafoundation.org/wikipedia-year-in-review-2025/" TargetMode="External"/><Relationship Id="rId60" Type="http://schemas.openxmlformats.org/officeDocument/2006/relationships/hyperlink" Target="https://letterboxd.com/2025/" TargetMode="External"/><Relationship Id="rId65" Type="http://schemas.openxmlformats.org/officeDocument/2006/relationships/hyperlink" Target="https://about.netflix.com/en/news/what-we-watched-the-second-half-of-2025" TargetMode="External"/><Relationship Id="rId4" Type="http://schemas.openxmlformats.org/officeDocument/2006/relationships/hyperlink" Target="https://www.usatoday.com/story/entertainment/2025/12/02/2025-year-end-wrapped-recaps-guide/87567558007/" TargetMode="External"/><Relationship Id="rId9" Type="http://schemas.openxmlformats.org/officeDocument/2006/relationships/hyperlink" Target="https://www.businessinsider.com/spotify-linkedin-youtube-partiful-straval-recaps-2025-12" TargetMode="External"/><Relationship Id="rId13" Type="http://schemas.openxmlformats.org/officeDocument/2006/relationships/hyperlink" Target="https://people.com/uber-launches-youber-2025-a-personalized-year-in-review-exclusive-11868051" TargetMode="External"/><Relationship Id="rId18" Type="http://schemas.openxmlformats.org/officeDocument/2006/relationships/hyperlink" Target="https://techcrunch.com/2025/12/06/spotify-wrapped-2024-is-almost-here-its-time-to-explore-all-the-copycats/" TargetMode="External"/><Relationship Id="rId39" Type="http://schemas.openxmlformats.org/officeDocument/2006/relationships/hyperlink" Target="https://www.pelobuddy.com/year-review-victory-lap-2025/" TargetMode="External"/><Relationship Id="rId34" Type="http://schemas.openxmlformats.org/officeDocument/2006/relationships/hyperlink" Target="https://www.theverge.com/news/837280/spotify-wrapped-2025-recap-annual-best-of-data" TargetMode="External"/><Relationship Id="rId50" Type="http://schemas.openxmlformats.org/officeDocument/2006/relationships/hyperlink" Target="https://www.reddit.com/r/TheStoryGraph/comments/1q0daqi/2025_wrap_up/" TargetMode="External"/><Relationship Id="rId55" Type="http://schemas.openxmlformats.org/officeDocument/2006/relationships/hyperlink" Target="https://ouraring.com/blog/2025-year-in-review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techcrunch.com/2025/12/06/spotify-wrapped-2024-is-almost-here-its-time-to-explore-all-the-copycats/" TargetMode="External"/><Relationship Id="rId21" Type="http://schemas.openxmlformats.org/officeDocument/2006/relationships/hyperlink" Target="https://techcrunch.com/2025/12/06/spotify-wrapped-2024-is-almost-here-its-time-to-explore-all-the-copycats/" TargetMode="External"/><Relationship Id="rId42" Type="http://schemas.openxmlformats.org/officeDocument/2006/relationships/hyperlink" Target="https://en.deezercommunity.com/product-updates/my-deezer-year-2025-updated-relive-your-year-in-music-81757" TargetMode="External"/><Relationship Id="rId47" Type="http://schemas.openxmlformats.org/officeDocument/2006/relationships/hyperlink" Target="https://www.reddit.com/r/Hevy/comments/1pi45iv/my_yearly_review/" TargetMode="External"/><Relationship Id="rId63" Type="http://schemas.openxmlformats.org/officeDocument/2006/relationships/hyperlink" Target="https://www.reddit.com/r/TIdaL/comments/1pd2es5/my_2025_recap_is_here/" TargetMode="External"/><Relationship Id="rId68" Type="http://schemas.openxmlformats.org/officeDocument/2006/relationships/hyperlink" Target="https://www.reddit.com/r/xbox/comments/1piftx6/your_xbox_stats_for_2025_are_now_live_with_xbox/" TargetMode="External"/><Relationship Id="rId84" Type="http://schemas.openxmlformats.org/officeDocument/2006/relationships/hyperlink" Target="https://www.last.fm/user/alex_ferguson/listening-report/year/2025" TargetMode="External"/><Relationship Id="rId89" Type="http://schemas.openxmlformats.org/officeDocument/2006/relationships/hyperlink" Target="https://udisc.com/replay" TargetMode="External"/><Relationship Id="rId112" Type="http://schemas.openxmlformats.org/officeDocument/2006/relationships/hyperlink" Target="https://www.garmin.com/en-US/blog/general/2025-garmin-connect-data-report/" TargetMode="External"/><Relationship Id="rId16" Type="http://schemas.openxmlformats.org/officeDocument/2006/relationships/hyperlink" Target="https://techcrunch.com/2025/12/06/spotify-wrapped-2024-is-almost-here-its-time-to-explore-all-the-copycats/" TargetMode="External"/><Relationship Id="rId107" Type="http://schemas.openxmlformats.org/officeDocument/2006/relationships/hyperlink" Target="https://www.instagram.com/p/DS76U2nDRzU/?img_index=1" TargetMode="External"/><Relationship Id="rId11" Type="http://schemas.openxmlformats.org/officeDocument/2006/relationships/hyperlink" Target="https://www.businessinsider.com/spotify-linkedin-youtube-partiful-straval-recaps-2025-12" TargetMode="External"/><Relationship Id="rId32" Type="http://schemas.openxmlformats.org/officeDocument/2006/relationships/hyperlink" Target="https://www.theverge.com/news/837280/spotify-wrapped-2025-recap-annual-best-of-data" TargetMode="External"/><Relationship Id="rId37" Type="http://schemas.openxmlformats.org/officeDocument/2006/relationships/hyperlink" Target="https://www.today.com/popculture/music/apple-music-replay-2025-rcna247075" TargetMode="External"/><Relationship Id="rId53" Type="http://schemas.openxmlformats.org/officeDocument/2006/relationships/hyperlink" Target="https://www.tiktok.com/@krangel6711/video/7588737849034378551" TargetMode="External"/><Relationship Id="rId58" Type="http://schemas.openxmlformats.org/officeDocument/2006/relationships/hyperlink" Target="https://www.reddit.com/r/soundcloud/comments/1pd39oi/i_wonder_how_much_time_you_people_listened_to/" TargetMode="External"/><Relationship Id="rId74" Type="http://schemas.openxmlformats.org/officeDocument/2006/relationships/hyperlink" Target="https://ouraring.com/blog/2025-year-in-review/" TargetMode="External"/><Relationship Id="rId79" Type="http://schemas.openxmlformats.org/officeDocument/2006/relationships/hyperlink" Target="https://www.goodreads.com/blog/show/3064-get-ready-for-year-in-books-2025" TargetMode="External"/><Relationship Id="rId102" Type="http://schemas.openxmlformats.org/officeDocument/2006/relationships/hyperlink" Target="https://blog.duolingo.com/2025-duolingo-language-report/" TargetMode="External"/><Relationship Id="rId5" Type="http://schemas.openxmlformats.org/officeDocument/2006/relationships/hyperlink" Target="https://www.whoop.com/us/en/thelocker/whoop-year-in-review-2025/?srsltid=AfmBOopaoiGLyZGjitzfFXjSMTJlFW-nupcZ7qdcfw2Jpjm70myR3odD" TargetMode="External"/><Relationship Id="rId90" Type="http://schemas.openxmlformats.org/officeDocument/2006/relationships/hyperlink" Target="https://udisc.com/replay" TargetMode="External"/><Relationship Id="rId95" Type="http://schemas.openxmlformats.org/officeDocument/2006/relationships/hyperlink" Target="https://www.reddit.com/r/TheStoryGraph/comments/1q0daqi/2025_wrap_up/" TargetMode="External"/><Relationship Id="rId22" Type="http://schemas.openxmlformats.org/officeDocument/2006/relationships/hyperlink" Target="https://techcrunch.com/2025/12/06/spotify-wrapped-2024-is-almost-here-its-time-to-explore-all-the-copycats/" TargetMode="External"/><Relationship Id="rId27" Type="http://schemas.openxmlformats.org/officeDocument/2006/relationships/hyperlink" Target="https://www.howtogeek.com/services-for-an-epic-wrapped-collection/" TargetMode="External"/><Relationship Id="rId43" Type="http://schemas.openxmlformats.org/officeDocument/2006/relationships/hyperlink" Target="https://discord.com/blog/checkpoint-2025-discord-year-in-review" TargetMode="External"/><Relationship Id="rId48" Type="http://schemas.openxmlformats.org/officeDocument/2006/relationships/hyperlink" Target="https://techcrunch.com/2021/12/16/hulu-rolls-out-personalized-end-of-year-recaps-with-stats-about-users-streaming-habits/" TargetMode="External"/><Relationship Id="rId64" Type="http://schemas.openxmlformats.org/officeDocument/2006/relationships/hyperlink" Target="https://esports.gg/news/streamers/twitch-recap-2025/" TargetMode="External"/><Relationship Id="rId69" Type="http://schemas.openxmlformats.org/officeDocument/2006/relationships/hyperlink" Target="https://variety.com/2025/digital/news/youtube-recap-year-end-videos-2025-trending-lists-1236592922/" TargetMode="External"/><Relationship Id="rId113" Type="http://schemas.openxmlformats.org/officeDocument/2006/relationships/hyperlink" Target="https://uk.tinderpressroom.com/TINDERS-YEAR-IN-SWIPE-TM-2025" TargetMode="External"/><Relationship Id="rId80" Type="http://schemas.openxmlformats.org/officeDocument/2006/relationships/hyperlink" Target="https://www.reddit.com/r/crowbro/comments/1hd1pvt/did_you_know_instacart_does_a_yearly_wrapup_guess/" TargetMode="External"/><Relationship Id="rId85" Type="http://schemas.openxmlformats.org/officeDocument/2006/relationships/hyperlink" Target="https://www.last.fm/user/alex_ferguson/listening-report/year/2025" TargetMode="External"/><Relationship Id="rId12" Type="http://schemas.openxmlformats.org/officeDocument/2006/relationships/hyperlink" Target="https://people.com/uber-launches-youber-2025-a-personalized-year-in-review-exclusive-11868051" TargetMode="External"/><Relationship Id="rId17" Type="http://schemas.openxmlformats.org/officeDocument/2006/relationships/hyperlink" Target="https://techcrunch.com/2025/12/06/spotify-wrapped-2024-is-almost-here-its-time-to-explore-all-the-copycats/" TargetMode="External"/><Relationship Id="rId33" Type="http://schemas.openxmlformats.org/officeDocument/2006/relationships/hyperlink" Target="https://www.theverge.com/news/837280/spotify-wrapped-2025-recap-annual-best-of-data" TargetMode="External"/><Relationship Id="rId38" Type="http://schemas.openxmlformats.org/officeDocument/2006/relationships/hyperlink" Target="https://www.ap.org/news-highlights/spotlights/2025/2025-year-in-review/" TargetMode="External"/><Relationship Id="rId59" Type="http://schemas.openxmlformats.org/officeDocument/2006/relationships/hyperlink" Target="https://techcrunch.com/2025/12/03/spotifys-2025-wrapped-becomes-a-multiplayer-experience/" TargetMode="External"/><Relationship Id="rId103" Type="http://schemas.openxmlformats.org/officeDocument/2006/relationships/hyperlink" Target="https://www.eightsleep.com/blog/eoy2025/?srsltid=AfmBOoqdjgVw_KNfQhClOrZU9R8XeVfVcni8_NpumqC8juVdFHZy1dF8" TargetMode="External"/><Relationship Id="rId108" Type="http://schemas.openxmlformats.org/officeDocument/2006/relationships/hyperlink" Target="https://newsroom.tiktok.com/tiktok-reveals-the-top-artists-and-songs-of-2025?lang=en" TargetMode="External"/><Relationship Id="rId54" Type="http://schemas.openxmlformats.org/officeDocument/2006/relationships/hyperlink" Target="https://partiful.com/blog/post/your-year-in-parties-the-partiful-2025-after-party-recap" TargetMode="External"/><Relationship Id="rId70" Type="http://schemas.openxmlformats.org/officeDocument/2006/relationships/hyperlink" Target="https://www.reddit.com/r/YoutubeMusic/comments/1p5nwcc/2025_recap/" TargetMode="External"/><Relationship Id="rId75" Type="http://schemas.openxmlformats.org/officeDocument/2006/relationships/hyperlink" Target="https://ouraring.com/blog/2025-year-in-review/" TargetMode="External"/><Relationship Id="rId91" Type="http://schemas.openxmlformats.org/officeDocument/2006/relationships/hyperlink" Target="https://www.crunchyroll.com/news/announcements/2025/12/15/crunchyroll-arc-2025-anime-year-in-review" TargetMode="External"/><Relationship Id="rId96" Type="http://schemas.openxmlformats.org/officeDocument/2006/relationships/hyperlink" Target="https://www.reddit.com/r/TheStoryGraph/comments/1q0daqi/2025_wrap_up/" TargetMode="External"/><Relationship Id="rId1" Type="http://schemas.openxmlformats.org/officeDocument/2006/relationships/hyperlink" Target="https://www.usatoday.com/story/entertainment/2025/12/02/2025-year-end-wrapped-recaps-guide/87567558007/" TargetMode="External"/><Relationship Id="rId6" Type="http://schemas.openxmlformats.org/officeDocument/2006/relationships/hyperlink" Target="https://wikimediafoundation.org/wikipedia-year-in-review-2025/" TargetMode="External"/><Relationship Id="rId15" Type="http://schemas.openxmlformats.org/officeDocument/2006/relationships/hyperlink" Target="https://techcrunch.com/2025/12/15/snapchat-rolls-out-its-end-of-year-recaps/" TargetMode="External"/><Relationship Id="rId23" Type="http://schemas.openxmlformats.org/officeDocument/2006/relationships/hyperlink" Target="https://techcrunch.com/2025/12/06/spotify-wrapped-2024-is-almost-here-its-time-to-explore-all-the-copycats/" TargetMode="External"/><Relationship Id="rId28" Type="http://schemas.openxmlformats.org/officeDocument/2006/relationships/hyperlink" Target="https://www.howtogeek.com/services-for-an-epic-wrapped-collection/" TargetMode="External"/><Relationship Id="rId36" Type="http://schemas.openxmlformats.org/officeDocument/2006/relationships/hyperlink" Target="https://www.aboutamazon.com/news/entertainment/amazon-music-delivered-streaming-insights" TargetMode="External"/><Relationship Id="rId49" Type="http://schemas.openxmlformats.org/officeDocument/2006/relationships/hyperlink" Target="https://www.instagram.com/p/DTF4AL-ksx9/" TargetMode="External"/><Relationship Id="rId57" Type="http://schemas.openxmlformats.org/officeDocument/2006/relationships/hyperlink" Target="https://www.reddit.com/r/RedditWrappedApp/comments/1pnexs0/my_reddit_2025_year_in_review_roast_its_snarky/" TargetMode="External"/><Relationship Id="rId106" Type="http://schemas.openxmlformats.org/officeDocument/2006/relationships/hyperlink" Target="https://letterboxd.com/2025/" TargetMode="External"/><Relationship Id="rId114" Type="http://schemas.openxmlformats.org/officeDocument/2006/relationships/hyperlink" Target="https://radar.cloudflare.com/year-in-review/2025" TargetMode="External"/><Relationship Id="rId10" Type="http://schemas.openxmlformats.org/officeDocument/2006/relationships/hyperlink" Target="https://www.businessinsider.com/spotify-linkedin-youtube-partiful-straval-recaps-2025-12" TargetMode="External"/><Relationship Id="rId31" Type="http://schemas.openxmlformats.org/officeDocument/2006/relationships/hyperlink" Target="https://www.makeuseof.com/spotify-wrapped-copycats/" TargetMode="External"/><Relationship Id="rId44" Type="http://schemas.openxmlformats.org/officeDocument/2006/relationships/hyperlink" Target="https://www.reddit.com/r/DunkinDonuts/comments/1pna1a4/2025_dunkin_year_in_review/" TargetMode="External"/><Relationship Id="rId52" Type="http://schemas.openxmlformats.org/officeDocument/2006/relationships/hyperlink" Target="https://thetab.com/2025/12/18/nyt-games-has-launched-a-wrapped-for-wordle-and-its-other-games-heres-how-to-do-it" TargetMode="External"/><Relationship Id="rId60" Type="http://schemas.openxmlformats.org/officeDocument/2006/relationships/hyperlink" Target="https://www.reddit.com/r/starbucks/comments/109amys/anyone_else_visited_more_this_recap_is_horrifying/" TargetMode="External"/><Relationship Id="rId65" Type="http://schemas.openxmlformats.org/officeDocument/2006/relationships/hyperlink" Target="https://www.uber.com/newsroom/introducing-youber-2025/" TargetMode="External"/><Relationship Id="rId73" Type="http://schemas.openxmlformats.org/officeDocument/2006/relationships/hyperlink" Target="https://www.instagram.com/p/DR9-ARWDLuL/?img_index=3" TargetMode="External"/><Relationship Id="rId78" Type="http://schemas.openxmlformats.org/officeDocument/2006/relationships/hyperlink" Target="https://www.goodreads.com/blog/show/3064-get-ready-for-year-in-books-2025" TargetMode="External"/><Relationship Id="rId81" Type="http://schemas.openxmlformats.org/officeDocument/2006/relationships/hyperlink" Target="https://www.reddit.com/r/crowbro/comments/1hd1pvt/did_you_know_instacart_does_a_yearly_wrapup_guess/" TargetMode="External"/><Relationship Id="rId86" Type="http://schemas.openxmlformats.org/officeDocument/2006/relationships/hyperlink" Target="https://playback.pocketcasts.com/" TargetMode="External"/><Relationship Id="rId94" Type="http://schemas.openxmlformats.org/officeDocument/2006/relationships/hyperlink" Target="https://blog.google/products-and-platforms/products/photos/google-photos-2025-recap/" TargetMode="External"/><Relationship Id="rId99" Type="http://schemas.openxmlformats.org/officeDocument/2006/relationships/hyperlink" Target="https://www.youtube.com/trends/report/tr25-global-trends-report/" TargetMode="External"/><Relationship Id="rId101" Type="http://schemas.openxmlformats.org/officeDocument/2006/relationships/hyperlink" Target="https://ouraring.com/blog/2025-year-in-review/" TargetMode="External"/><Relationship Id="rId4" Type="http://schemas.openxmlformats.org/officeDocument/2006/relationships/hyperlink" Target="https://www.usatoday.com/story/entertainment/2025/12/02/2025-year-end-wrapped-recaps-guide/87567558007/" TargetMode="External"/><Relationship Id="rId9" Type="http://schemas.openxmlformats.org/officeDocument/2006/relationships/hyperlink" Target="https://www.businessinsider.com/spotify-linkedin-youtube-partiful-straval-recaps-2025-12" TargetMode="External"/><Relationship Id="rId13" Type="http://schemas.openxmlformats.org/officeDocument/2006/relationships/hyperlink" Target="https://people.com/uber-launches-youber-2025-a-personalized-year-in-review-exclusive-11868051" TargetMode="External"/><Relationship Id="rId18" Type="http://schemas.openxmlformats.org/officeDocument/2006/relationships/hyperlink" Target="https://techcrunch.com/2025/12/06/spotify-wrapped-2024-is-almost-here-its-time-to-explore-all-the-copycats/" TargetMode="External"/><Relationship Id="rId39" Type="http://schemas.openxmlformats.org/officeDocument/2006/relationships/hyperlink" Target="https://www.reddit.com/r/CARROTweather/comments/1q15rek/my_2025_carrot/" TargetMode="External"/><Relationship Id="rId109" Type="http://schemas.openxmlformats.org/officeDocument/2006/relationships/hyperlink" Target="https://press.strava.com/articles/strava-releases-12th-annual-year-in-sport-trend-report-2025" TargetMode="External"/><Relationship Id="rId34" Type="http://schemas.openxmlformats.org/officeDocument/2006/relationships/hyperlink" Target="https://www.theverge.com/news/837280/spotify-wrapped-2025-recap-annual-best-of-data" TargetMode="External"/><Relationship Id="rId50" Type="http://schemas.openxmlformats.org/officeDocument/2006/relationships/hyperlink" Target="https://thetab.com/2025/12/18/so-heres-how-to-get-your-linkedin-wrapped-2025-because-its-actually-a-real-thing" TargetMode="External"/><Relationship Id="rId55" Type="http://schemas.openxmlformats.org/officeDocument/2006/relationships/hyperlink" Target="https://www.pcmag.com/news/playstations-year-in-review-is-live-how-to-check-your-stats" TargetMode="External"/><Relationship Id="rId76" Type="http://schemas.openxmlformats.org/officeDocument/2006/relationships/hyperlink" Target="https://www.pelobuddy.com/year-review-victory-lap-2025/" TargetMode="External"/><Relationship Id="rId97" Type="http://schemas.openxmlformats.org/officeDocument/2006/relationships/hyperlink" Target="https://udisc.com/replay" TargetMode="External"/><Relationship Id="rId104" Type="http://schemas.openxmlformats.org/officeDocument/2006/relationships/hyperlink" Target="https://playback.pocketcasts.com/" TargetMode="External"/><Relationship Id="rId7" Type="http://schemas.openxmlformats.org/officeDocument/2006/relationships/hyperlink" Target="https://www.ap.org/news-highlights/spotlights/2025/2025-year-in-review/" TargetMode="External"/><Relationship Id="rId71" Type="http://schemas.openxmlformats.org/officeDocument/2006/relationships/hyperlink" Target="https://myanimelist.net/forum/?topicid=2247124" TargetMode="External"/><Relationship Id="rId92" Type="http://schemas.openxmlformats.org/officeDocument/2006/relationships/hyperlink" Target="https://www.crunchyroll.com/news/announcements/2025/12/15/crunchyroll-arc-2025-anime-year-in-review" TargetMode="External"/><Relationship Id="rId2" Type="http://schemas.openxmlformats.org/officeDocument/2006/relationships/hyperlink" Target="https://www.usatoday.com/story/entertainment/2025/12/02/2025-year-end-wrapped-recaps-guide/87567558007/" TargetMode="External"/><Relationship Id="rId29" Type="http://schemas.openxmlformats.org/officeDocument/2006/relationships/hyperlink" Target="https://www.howtogeek.com/services-for-an-epic-wrapped-collection/" TargetMode="External"/><Relationship Id="rId24" Type="http://schemas.openxmlformats.org/officeDocument/2006/relationships/hyperlink" Target="https://techcrunch.com/2025/12/06/spotify-wrapped-2024-is-almost-here-its-time-to-explore-all-the-copycats/" TargetMode="External"/><Relationship Id="rId40" Type="http://schemas.openxmlformats.org/officeDocument/2006/relationships/hyperlink" Target="https://www.findarticles.com/chatgpt-unveils-year-end-review-similar-to-spotify-wrapped/" TargetMode="External"/><Relationship Id="rId45" Type="http://schemas.openxmlformats.org/officeDocument/2006/relationships/hyperlink" Target="https://www.reddit.com/r/duolingo/comments/1plvsry/my_year_in_review_2025/" TargetMode="External"/><Relationship Id="rId66" Type="http://schemas.openxmlformats.org/officeDocument/2006/relationships/hyperlink" Target="https://www.linkedin.com/posts/whoop_its-back-the-most-anticipated-moment-of-activity-7404216406072004608-PF-f/" TargetMode="External"/><Relationship Id="rId87" Type="http://schemas.openxmlformats.org/officeDocument/2006/relationships/hyperlink" Target="https://www.facebook.com/groups/LitRPG.books/posts/25880895524840439/" TargetMode="External"/><Relationship Id="rId110" Type="http://schemas.openxmlformats.org/officeDocument/2006/relationships/hyperlink" Target="https://trends.withgoogle.com/year-in-search/2025/us/" TargetMode="External"/><Relationship Id="rId115" Type="http://schemas.openxmlformats.org/officeDocument/2006/relationships/hyperlink" Target="https://www.backblaze.com/blog/backblaze-drive-stats-for-2025/" TargetMode="External"/><Relationship Id="rId61" Type="http://schemas.openxmlformats.org/officeDocument/2006/relationships/hyperlink" Target="https://www.pcmag.com/news/steam-replay-is-here-to-recap-your-year-in-pc-gaming" TargetMode="External"/><Relationship Id="rId82" Type="http://schemas.openxmlformats.org/officeDocument/2006/relationships/hyperlink" Target="https://mashable.com/article/monzo-wrapped-end-of-year" TargetMode="External"/><Relationship Id="rId19" Type="http://schemas.openxmlformats.org/officeDocument/2006/relationships/hyperlink" Target="https://techcrunch.com/2025/12/06/spotify-wrapped-2024-is-almost-here-its-time-to-explore-all-the-copycats/" TargetMode="External"/><Relationship Id="rId14" Type="http://schemas.openxmlformats.org/officeDocument/2006/relationships/hyperlink" Target="https://www.usnews.com/news/business/articles/2025-12-03/how-to-find-spotify-wrapped-youtube-recap-and-more-as-2025-comes-to-a-close" TargetMode="External"/><Relationship Id="rId30" Type="http://schemas.openxmlformats.org/officeDocument/2006/relationships/hyperlink" Target="https://www.reddit.com/r/socialmedia/comments/18cptis/what_are_some_other_services_that_offer_yearend/" TargetMode="External"/><Relationship Id="rId35" Type="http://schemas.openxmlformats.org/officeDocument/2006/relationships/hyperlink" Target="https://www.theverge.com/news/837280/spotify-wrapped-2025-recap-annual-best-of-data" TargetMode="External"/><Relationship Id="rId56" Type="http://schemas.openxmlformats.org/officeDocument/2006/relationships/hyperlink" Target="https://updates.reclaim.ai/announcements/reclaim-recapped-2025-your-year-in-review-is-here" TargetMode="External"/><Relationship Id="rId77" Type="http://schemas.openxmlformats.org/officeDocument/2006/relationships/hyperlink" Target="https://www.pelobuddy.com/year-review-victory-lap-2025/" TargetMode="External"/><Relationship Id="rId100" Type="http://schemas.openxmlformats.org/officeDocument/2006/relationships/hyperlink" Target="https://newsroom.spotify.com/2025-12-03/wrapped-top-artists-songs-albums-podcasts-audiobooks/" TargetMode="External"/><Relationship Id="rId105" Type="http://schemas.openxmlformats.org/officeDocument/2006/relationships/hyperlink" Target="https://www.twitch.tv/annual-recap" TargetMode="External"/><Relationship Id="rId8" Type="http://schemas.openxmlformats.org/officeDocument/2006/relationships/hyperlink" Target="https://letterboxd.com/journal/2025-letterboxd-year-in-review-faq/" TargetMode="External"/><Relationship Id="rId51" Type="http://schemas.openxmlformats.org/officeDocument/2006/relationships/hyperlink" Target="https://www.nintendo.com/en-gb/News/2025/December/Personalise-your-Nintendo-experience-2987358.html?srsltid=AfmBOopmbM3stWZb4e7qLQ5fZ-uw6sPwGwNMgpC5pvT0XdfrzdMtdbet" TargetMode="External"/><Relationship Id="rId72" Type="http://schemas.openxmlformats.org/officeDocument/2006/relationships/hyperlink" Target="https://lifehacker.com/health/garmin-year-in-review-connect-plus-feature" TargetMode="External"/><Relationship Id="rId93" Type="http://schemas.openxmlformats.org/officeDocument/2006/relationships/hyperlink" Target="https://blog.google/products-and-platforms/products/photos/google-photos-2025-recap/" TargetMode="External"/><Relationship Id="rId98" Type="http://schemas.openxmlformats.org/officeDocument/2006/relationships/hyperlink" Target="https://wikimediafoundation.org/wikipedia-year-in-review-2025/" TargetMode="External"/><Relationship Id="rId3" Type="http://schemas.openxmlformats.org/officeDocument/2006/relationships/hyperlink" Target="https://www.usatoday.com/story/entertainment/2025/12/02/2025-year-end-wrapped-recaps-guide/87567558007/" TargetMode="External"/><Relationship Id="rId25" Type="http://schemas.openxmlformats.org/officeDocument/2006/relationships/hyperlink" Target="https://techcrunch.com/2025/12/06/spotify-wrapped-2024-is-almost-here-its-time-to-explore-all-the-copycats/" TargetMode="External"/><Relationship Id="rId46" Type="http://schemas.openxmlformats.org/officeDocument/2006/relationships/hyperlink" Target="https://www.reddit.com/r/EightSleep/comments/1pq53l2/2025_recap/" TargetMode="External"/><Relationship Id="rId67" Type="http://schemas.openxmlformats.org/officeDocument/2006/relationships/hyperlink" Target="https://www.theverge.com/news/838989/wikipedia-year-in-review-2025-wrapped" TargetMode="External"/><Relationship Id="rId20" Type="http://schemas.openxmlformats.org/officeDocument/2006/relationships/hyperlink" Target="https://techcrunch.com/2025/12/06/spotify-wrapped-2024-is-almost-here-its-time-to-explore-all-the-copycats/" TargetMode="External"/><Relationship Id="rId41" Type="http://schemas.openxmlformats.org/officeDocument/2006/relationships/hyperlink" Target="https://www.reddit.com/r/Daylio/comments/1q0zyk6/2025_my_first_year_with_daylio/" TargetMode="External"/><Relationship Id="rId62" Type="http://schemas.openxmlformats.org/officeDocument/2006/relationships/hyperlink" Target="https://www.reddit.com/r/Strava/comments/1p8u5oa/2025_year_in_sport_visualisation_tool/" TargetMode="External"/><Relationship Id="rId83" Type="http://schemas.openxmlformats.org/officeDocument/2006/relationships/hyperlink" Target="https://community.monzo.com/t/year-in-monzo-2025-is-here/187028" TargetMode="External"/><Relationship Id="rId88" Type="http://schemas.openxmlformats.org/officeDocument/2006/relationships/hyperlink" Target="https://appleinsider.com/inside/apple-services/tips/how-to-see-all-the-books-you-read-in-2025-with-apple-books" TargetMode="External"/><Relationship Id="rId111" Type="http://schemas.openxmlformats.org/officeDocument/2006/relationships/hyperlink" Target="https://about.netflix.com/en/news/what-we-watched-the-second-half-of-202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ddit.com/r/lastfm/comments/1q2472v/2025_playback/" TargetMode="External"/><Relationship Id="rId21" Type="http://schemas.openxmlformats.org/officeDocument/2006/relationships/hyperlink" Target="https://techcrunch.com/2025/12/06/spotify-wrapped-2024-is-almost-here-its-time-to-explore-all-the-copycats/" TargetMode="External"/><Relationship Id="rId42" Type="http://schemas.openxmlformats.org/officeDocument/2006/relationships/hyperlink" Target="https://www.instagram.com/p/DTF4AL-ksx9/" TargetMode="External"/><Relationship Id="rId63" Type="http://schemas.openxmlformats.org/officeDocument/2006/relationships/hyperlink" Target="https://www.instagram.com/p/DR9-ARWDLuL/?img_index=3" TargetMode="External"/><Relationship Id="rId84" Type="http://schemas.openxmlformats.org/officeDocument/2006/relationships/hyperlink" Target="https://blog.google/products-and-platforms/products/photos/google-photos-2025-recap/" TargetMode="External"/><Relationship Id="rId138" Type="http://schemas.openxmlformats.org/officeDocument/2006/relationships/hyperlink" Target="https://www.reddit.com/r/spotifywrapped/new/" TargetMode="External"/><Relationship Id="rId107" Type="http://schemas.openxmlformats.org/officeDocument/2006/relationships/hyperlink" Target="https://www.reddit.com/r/duolingo/comments/1pcjzvz/2025_year_review/" TargetMode="External"/><Relationship Id="rId11" Type="http://schemas.openxmlformats.org/officeDocument/2006/relationships/hyperlink" Target="https://www.usnews.com/news/business/articles/2025-12-03/how-to-find-spotify-wrapped-youtube-recap-and-more-as-2025-comes-to-a-close" TargetMode="External"/><Relationship Id="rId32" Type="http://schemas.openxmlformats.org/officeDocument/2006/relationships/hyperlink" Target="https://www.today.com/popculture/music/apple-music-replay-2025-rcna247075" TargetMode="External"/><Relationship Id="rId53" Type="http://schemas.openxmlformats.org/officeDocument/2006/relationships/hyperlink" Target="https://www.pcmag.com/news/steam-replay-is-here-to-recap-your-year-in-pc-gaming" TargetMode="External"/><Relationship Id="rId74" Type="http://schemas.openxmlformats.org/officeDocument/2006/relationships/hyperlink" Target="https://www.last.fm/user/alex_ferguson/listening-report/year/2025" TargetMode="External"/><Relationship Id="rId128" Type="http://schemas.openxmlformats.org/officeDocument/2006/relationships/hyperlink" Target="https://www.reddit.com/r/Pandora/comments/1pejwxc/pandora_playback_wrapped/" TargetMode="External"/><Relationship Id="rId149" Type="http://schemas.openxmlformats.org/officeDocument/2006/relationships/hyperlink" Target="https://udisc.com/replay" TargetMode="External"/><Relationship Id="rId5" Type="http://schemas.openxmlformats.org/officeDocument/2006/relationships/hyperlink" Target="https://letterboxd.com/journal/2025-letterboxd-year-in-review-faq/" TargetMode="External"/><Relationship Id="rId95" Type="http://schemas.openxmlformats.org/officeDocument/2006/relationships/hyperlink" Target="https://www.reddit.com/r/ChatGPT/comments/1ptc7g4/your_year_with_chatgpt_2025/" TargetMode="External"/><Relationship Id="rId22" Type="http://schemas.openxmlformats.org/officeDocument/2006/relationships/hyperlink" Target="https://www.howtogeek.com/services-for-an-epic-wrapped-collection/" TargetMode="External"/><Relationship Id="rId43" Type="http://schemas.openxmlformats.org/officeDocument/2006/relationships/hyperlink" Target="https://thetab.com/2025/12/18/so-heres-how-to-get-your-linkedin-wrapped-2025-because-its-actually-a-real-thing" TargetMode="External"/><Relationship Id="rId64" Type="http://schemas.openxmlformats.org/officeDocument/2006/relationships/hyperlink" Target="https://ouraring.com/blog/2025-year-in-review/" TargetMode="External"/><Relationship Id="rId118" Type="http://schemas.openxmlformats.org/officeDocument/2006/relationships/hyperlink" Target="https://www.reddit.com/r/kindle/comments/1q10bvm/my_year_2025_with_goodreads_and_kindle_unlimited/" TargetMode="External"/><Relationship Id="rId139" Type="http://schemas.openxmlformats.org/officeDocument/2006/relationships/hyperlink" Target="https://www.reddit.com/r/starbucks/comments/18x247j/my_starbucks_2023_blend_did_the_math_on_how_much/" TargetMode="External"/><Relationship Id="rId80" Type="http://schemas.openxmlformats.org/officeDocument/2006/relationships/hyperlink" Target="https://udisc.com/replay" TargetMode="External"/><Relationship Id="rId85" Type="http://schemas.openxmlformats.org/officeDocument/2006/relationships/hyperlink" Target="https://www.reddit.com/r/TheStoryGraph/comments/1q0daqi/2025_wrap_up/" TargetMode="External"/><Relationship Id="rId150" Type="http://schemas.openxmlformats.org/officeDocument/2006/relationships/hyperlink" Target="https://www.facebook.com/groups/mhdgc/posts/10161967192121053/" TargetMode="External"/><Relationship Id="rId155" Type="http://schemas.openxmlformats.org/officeDocument/2006/relationships/hyperlink" Target="https://www.reddit.com/r/recap/comments/1h0h3xm/how_on_earth_did_that_other_dude_go_an_extra/" TargetMode="External"/><Relationship Id="rId12" Type="http://schemas.openxmlformats.org/officeDocument/2006/relationships/hyperlink" Target="https://techcrunch.com/2025/12/15/snapchat-rolls-out-its-end-of-year-recaps/" TargetMode="External"/><Relationship Id="rId17" Type="http://schemas.openxmlformats.org/officeDocument/2006/relationships/hyperlink" Target="https://techcrunch.com/2025/12/06/spotify-wrapped-2024-is-almost-here-its-time-to-explore-all-the-copycats/" TargetMode="External"/><Relationship Id="rId33" Type="http://schemas.openxmlformats.org/officeDocument/2006/relationships/hyperlink" Target="https://www.reddit.com/r/CARROTweather/comments/1q15rek/my_2025_carrot/" TargetMode="External"/><Relationship Id="rId38" Type="http://schemas.openxmlformats.org/officeDocument/2006/relationships/hyperlink" Target="https://www.reddit.com/r/DunkinDonuts/comments/1pna1a4/2025_dunkin_year_in_review/" TargetMode="External"/><Relationship Id="rId59" Type="http://schemas.openxmlformats.org/officeDocument/2006/relationships/hyperlink" Target="https://variety.com/2025/digital/news/youtube-recap-year-end-videos-2025-trending-lists-1236592922/" TargetMode="External"/><Relationship Id="rId103" Type="http://schemas.openxmlformats.org/officeDocument/2006/relationships/hyperlink" Target="https://www.reddit.com/r/discordapp/comments/1p1n040/discord_is_working_on_checkpoint_a_yearly_recap/" TargetMode="External"/><Relationship Id="rId108" Type="http://schemas.openxmlformats.org/officeDocument/2006/relationships/hyperlink" Target="https://www.reddit.com/r/Garmin/comments/1peucb0/if_anyone_is_curious_what_theyre_missing_from/" TargetMode="External"/><Relationship Id="rId124" Type="http://schemas.openxmlformats.org/officeDocument/2006/relationships/hyperlink" Target="https://www.reddit.com/media?url=https%3A%2F%2Fpreview.redd.it%2Fnintendo-switch-2025-year-in-review-megathread-v0-g234ksme17dg1.jpeg%3Fwidth%3D1080%26format%3Dpjpg%26auto%3Dwebp%26s%3D53b609f1098d5e644d89f78e2f6e4be8138bf6b9" TargetMode="External"/><Relationship Id="rId129" Type="http://schemas.openxmlformats.org/officeDocument/2006/relationships/hyperlink" Target="https://x.com/bezi_ezi/status/2001729242594504786/photo/1" TargetMode="External"/><Relationship Id="rId54" Type="http://schemas.openxmlformats.org/officeDocument/2006/relationships/hyperlink" Target="https://www.reddit.com/r/Strava/comments/1p8u5oa/2025_year_in_sport_visualisation_tool/" TargetMode="External"/><Relationship Id="rId70" Type="http://schemas.openxmlformats.org/officeDocument/2006/relationships/hyperlink" Target="https://www.reddit.com/r/crowbro/comments/1hd1pvt/did_you_know_instacart_does_a_yearly_wrapup_guess/" TargetMode="External"/><Relationship Id="rId75" Type="http://schemas.openxmlformats.org/officeDocument/2006/relationships/hyperlink" Target="https://www.last.fm/user/alex_ferguson/listening-report/year/2025" TargetMode="External"/><Relationship Id="rId91" Type="http://schemas.openxmlformats.org/officeDocument/2006/relationships/hyperlink" Target="https://www.instagram.com/p/DRxky3vkf-y/" TargetMode="External"/><Relationship Id="rId96" Type="http://schemas.openxmlformats.org/officeDocument/2006/relationships/hyperlink" Target="https://myanimelist.net/wrap-up/Corani/2025/anime?section=_r_1r_" TargetMode="External"/><Relationship Id="rId140" Type="http://schemas.openxmlformats.org/officeDocument/2006/relationships/hyperlink" Target="https://s.team/y25/nhpwbpd?l=english" TargetMode="External"/><Relationship Id="rId145" Type="http://schemas.openxmlformats.org/officeDocument/2006/relationships/hyperlink" Target="https://www.reddit.com/r/TIdaL/comments/1pcloks/tidal_rewind_2025/" TargetMode="External"/><Relationship Id="rId1" Type="http://schemas.openxmlformats.org/officeDocument/2006/relationships/hyperlink" Target="https://www.usatoday.com/story/entertainment/2025/12/02/2025-year-end-wrapped-recaps-guide/87567558007/" TargetMode="External"/><Relationship Id="rId6" Type="http://schemas.openxmlformats.org/officeDocument/2006/relationships/hyperlink" Target="https://www.businessinsider.com/spotify-linkedin-youtube-partiful-straval-recaps-2025-12" TargetMode="External"/><Relationship Id="rId23" Type="http://schemas.openxmlformats.org/officeDocument/2006/relationships/hyperlink" Target="https://www.howtogeek.com/services-for-an-epic-wrapped-collection/" TargetMode="External"/><Relationship Id="rId28" Type="http://schemas.openxmlformats.org/officeDocument/2006/relationships/hyperlink" Target="https://www.theverge.com/news/837280/spotify-wrapped-2025-recap-annual-best-of-data" TargetMode="External"/><Relationship Id="rId49" Type="http://schemas.openxmlformats.org/officeDocument/2006/relationships/hyperlink" Target="https://www.reddit.com/r/RedditWrappedApp/comments/1pnexs0/my_reddit_2025_year_in_review_roast_its_snarky/" TargetMode="External"/><Relationship Id="rId114" Type="http://schemas.openxmlformats.org/officeDocument/2006/relationships/hyperlink" Target="https://www.unit9.com/project/hulu-your-tv-dna" TargetMode="External"/><Relationship Id="rId119" Type="http://schemas.openxmlformats.org/officeDocument/2006/relationships/hyperlink" Target="https://letterboxd.com/2025/" TargetMode="External"/><Relationship Id="rId44" Type="http://schemas.openxmlformats.org/officeDocument/2006/relationships/hyperlink" Target="https://www.nintendo.com/en-gb/News/2025/December/Personalise-your-Nintendo-experience-2987358.html?srsltid=AfmBOopmbM3stWZb4e7qLQ5fZ-uw6sPwGwNMgpC5pvT0XdfrzdMtdbet" TargetMode="External"/><Relationship Id="rId60" Type="http://schemas.openxmlformats.org/officeDocument/2006/relationships/hyperlink" Target="https://www.reddit.com/r/YoutubeMusic/comments/1p5nwcc/2025_recap/" TargetMode="External"/><Relationship Id="rId65" Type="http://schemas.openxmlformats.org/officeDocument/2006/relationships/hyperlink" Target="https://ouraring.com/blog/2025-year-in-review/" TargetMode="External"/><Relationship Id="rId81" Type="http://schemas.openxmlformats.org/officeDocument/2006/relationships/hyperlink" Target="https://www.crunchyroll.com/news/announcements/2025/12/15/crunchyroll-arc-2025-anime-year-in-review" TargetMode="External"/><Relationship Id="rId86" Type="http://schemas.openxmlformats.org/officeDocument/2006/relationships/hyperlink" Target="https://www.reddit.com/r/TheStoryGraph/comments/1q0daqi/2025_wrap_up/" TargetMode="External"/><Relationship Id="rId130" Type="http://schemas.openxmlformats.org/officeDocument/2006/relationships/hyperlink" Target="https://www.reddit.com/media?url=https%3A%2F%2Fpreview.redd.it%2Fplaystation-2025-wrap-up-sharing-megathread-v0-b9c5yzz9v3cg1.jpeg%3Fwidth%3D1080%26format%3Dpjpg%26auto%3Dwebp%26s%3D67ee621059f5f4c50c46eb9ea85faa6391855b7c" TargetMode="External"/><Relationship Id="rId135" Type="http://schemas.openxmlformats.org/officeDocument/2006/relationships/hyperlink" Target="https://www.reddit.com/r/pocketcasts/comments/1ph8wxe/my_2025_playback/" TargetMode="External"/><Relationship Id="rId151" Type="http://schemas.openxmlformats.org/officeDocument/2006/relationships/hyperlink" Target="https://x.com/jiunao_/status/2027470318806438349" TargetMode="External"/><Relationship Id="rId156" Type="http://schemas.openxmlformats.org/officeDocument/2006/relationships/hyperlink" Target="https://www.reddit.com/r/xbox/comments/1h6ls8l/xbox_year_in_review_2024_is_here_your_games_your/" TargetMode="External"/><Relationship Id="rId13" Type="http://schemas.openxmlformats.org/officeDocument/2006/relationships/hyperlink" Target="https://techcrunch.com/2025/12/06/spotify-wrapped-2024-is-almost-here-its-time-to-explore-all-the-copycats/" TargetMode="External"/><Relationship Id="rId18" Type="http://schemas.openxmlformats.org/officeDocument/2006/relationships/hyperlink" Target="https://techcrunch.com/2025/12/06/spotify-wrapped-2024-is-almost-here-its-time-to-explore-all-the-copycats/" TargetMode="External"/><Relationship Id="rId39" Type="http://schemas.openxmlformats.org/officeDocument/2006/relationships/hyperlink" Target="https://www.reddit.com/r/duolingo/comments/1plvsry/my_year_in_review_2025/" TargetMode="External"/><Relationship Id="rId109" Type="http://schemas.openxmlformats.org/officeDocument/2006/relationships/hyperlink" Target="https://www.instagram.com/p/DSx6loaj4_3/" TargetMode="External"/><Relationship Id="rId34" Type="http://schemas.openxmlformats.org/officeDocument/2006/relationships/hyperlink" Target="https://www.findarticles.com/chatgpt-unveils-year-end-review-similar-to-spotify-wrapped/" TargetMode="External"/><Relationship Id="rId50" Type="http://schemas.openxmlformats.org/officeDocument/2006/relationships/hyperlink" Target="https://www.reddit.com/r/soundcloud/comments/1pd39oi/i_wonder_how_much_time_you_people_listened_to/" TargetMode="External"/><Relationship Id="rId55" Type="http://schemas.openxmlformats.org/officeDocument/2006/relationships/hyperlink" Target="https://www.reddit.com/r/TIdaL/comments/1pd2es5/my_2025_recap_is_here/" TargetMode="External"/><Relationship Id="rId76" Type="http://schemas.openxmlformats.org/officeDocument/2006/relationships/hyperlink" Target="https://playback.pocketcasts.com/" TargetMode="External"/><Relationship Id="rId97" Type="http://schemas.openxmlformats.org/officeDocument/2006/relationships/hyperlink" Target="https://www.instagram.com/p/DSdiT9Hjspz/" TargetMode="External"/><Relationship Id="rId104" Type="http://schemas.openxmlformats.org/officeDocument/2006/relationships/hyperlink" Target="https://www.reddit.com/r/DunkinDonuts/comments/1pkcpz3/my_dunkin_year_in_review/" TargetMode="External"/><Relationship Id="rId120" Type="http://schemas.openxmlformats.org/officeDocument/2006/relationships/hyperlink" Target="https://www.instagram.com/p/DSlBSFECu0w/" TargetMode="External"/><Relationship Id="rId125" Type="http://schemas.openxmlformats.org/officeDocument/2006/relationships/hyperlink" Target="https://www.instagram.com/p/DS76U2nDRzU/" TargetMode="External"/><Relationship Id="rId141" Type="http://schemas.openxmlformats.org/officeDocument/2006/relationships/hyperlink" Target="https://www.reddit.com/media?url=https%3A%2F%2Fpreview.redd.it%2F2025-wrap-up-v0-uqt53xjr0mag1.jpeg%3Fwidth%3D1356%26format%3Dpjpg%26auto%3Dwebp%26s%3De7c579543455cd63b5a03be7b574716785823ca8" TargetMode="External"/><Relationship Id="rId146" Type="http://schemas.openxmlformats.org/officeDocument/2006/relationships/hyperlink" Target="https://x.com/IPinkthumb/status/2018281179569430718" TargetMode="External"/><Relationship Id="rId7" Type="http://schemas.openxmlformats.org/officeDocument/2006/relationships/hyperlink" Target="https://www.businessinsider.com/spotify-linkedin-youtube-partiful-straval-recaps-2025-12" TargetMode="External"/><Relationship Id="rId71" Type="http://schemas.openxmlformats.org/officeDocument/2006/relationships/hyperlink" Target="https://www.reddit.com/r/crowbro/comments/1hd1pvt/did_you_know_instacart_does_a_yearly_wrapup_guess/" TargetMode="External"/><Relationship Id="rId92" Type="http://schemas.openxmlformats.org/officeDocument/2006/relationships/hyperlink" Target="https://www.reddit.com/r/CARROTweather/comments/1q15rek/my_2025_carrot/" TargetMode="External"/><Relationship Id="rId2" Type="http://schemas.openxmlformats.org/officeDocument/2006/relationships/hyperlink" Target="https://www.usatoday.com/story/entertainment/2025/12/02/2025-year-end-wrapped-recaps-guide/87567558007/" TargetMode="External"/><Relationship Id="rId29" Type="http://schemas.openxmlformats.org/officeDocument/2006/relationships/hyperlink" Target="https://www.theverge.com/news/837280/spotify-wrapped-2025-recap-annual-best-of-data" TargetMode="External"/><Relationship Id="rId24" Type="http://schemas.openxmlformats.org/officeDocument/2006/relationships/hyperlink" Target="https://www.howtogeek.com/services-for-an-epic-wrapped-collection/" TargetMode="External"/><Relationship Id="rId40" Type="http://schemas.openxmlformats.org/officeDocument/2006/relationships/hyperlink" Target="https://www.reddit.com/r/Hevy/comments/1pi45iv/my_yearly_review/" TargetMode="External"/><Relationship Id="rId45" Type="http://schemas.openxmlformats.org/officeDocument/2006/relationships/hyperlink" Target="https://thetab.com/2025/12/18/nyt-games-has-launched-a-wrapped-for-wordle-and-its-other-games-heres-how-to-do-it" TargetMode="External"/><Relationship Id="rId66" Type="http://schemas.openxmlformats.org/officeDocument/2006/relationships/hyperlink" Target="https://www.pelobuddy.com/year-review-victory-lap-2025/" TargetMode="External"/><Relationship Id="rId87" Type="http://schemas.openxmlformats.org/officeDocument/2006/relationships/hyperlink" Target="https://www.reddit.com/r/MusicIndia/comments/1pc02iv/my_amazon_music_2025_wrapped_similar_to_spotify/" TargetMode="External"/><Relationship Id="rId110" Type="http://schemas.openxmlformats.org/officeDocument/2006/relationships/hyperlink" Target="https://www.instagram.com/p/DS2pabvDiFE/" TargetMode="External"/><Relationship Id="rId115" Type="http://schemas.openxmlformats.org/officeDocument/2006/relationships/hyperlink" Target="https://www.instagram.com/p/DRz9g_1knF_/?img_index=5" TargetMode="External"/><Relationship Id="rId131" Type="http://schemas.openxmlformats.org/officeDocument/2006/relationships/hyperlink" Target="https://www.reddit.com/r/Trophies/comments/1pigqln/playstation_wrapup_2025_how_do_you_kill_that/" TargetMode="External"/><Relationship Id="rId136" Type="http://schemas.openxmlformats.org/officeDocument/2006/relationships/hyperlink" Target="https://x.com/maxisleaze/status/1996428130278384051" TargetMode="External"/><Relationship Id="rId157" Type="http://schemas.openxmlformats.org/officeDocument/2006/relationships/hyperlink" Target="https://www.reddit.com/r/Letterboxd/comments/1hwke0y/2024_letterboxd_wrapped/" TargetMode="External"/><Relationship Id="rId61" Type="http://schemas.openxmlformats.org/officeDocument/2006/relationships/hyperlink" Target="https://myanimelist.net/forum/?topicid=2247124" TargetMode="External"/><Relationship Id="rId82" Type="http://schemas.openxmlformats.org/officeDocument/2006/relationships/hyperlink" Target="https://www.crunchyroll.com/news/announcements/2025/12/15/crunchyroll-arc-2025-anime-year-in-review" TargetMode="External"/><Relationship Id="rId152" Type="http://schemas.openxmlformats.org/officeDocument/2006/relationships/hyperlink" Target="https://x.com/ijosepherhiga/status/2003632913326440581" TargetMode="External"/><Relationship Id="rId19" Type="http://schemas.openxmlformats.org/officeDocument/2006/relationships/hyperlink" Target="https://techcrunch.com/2025/12/06/spotify-wrapped-2024-is-almost-here-its-time-to-explore-all-the-copycats/" TargetMode="External"/><Relationship Id="rId14" Type="http://schemas.openxmlformats.org/officeDocument/2006/relationships/hyperlink" Target="https://techcrunch.com/2025/12/06/spotify-wrapped-2024-is-almost-here-its-time-to-explore-all-the-copycats/" TargetMode="External"/><Relationship Id="rId30" Type="http://schemas.openxmlformats.org/officeDocument/2006/relationships/hyperlink" Target="https://www.theverge.com/news/837280/spotify-wrapped-2025-recap-annual-best-of-data" TargetMode="External"/><Relationship Id="rId35" Type="http://schemas.openxmlformats.org/officeDocument/2006/relationships/hyperlink" Target="https://www.reddit.com/r/Daylio/comments/1q0zyk6/2025_my_first_year_with_daylio/" TargetMode="External"/><Relationship Id="rId56" Type="http://schemas.openxmlformats.org/officeDocument/2006/relationships/hyperlink" Target="https://esports.gg/news/streamers/twitch-recap-2025/" TargetMode="External"/><Relationship Id="rId77" Type="http://schemas.openxmlformats.org/officeDocument/2006/relationships/hyperlink" Target="https://www.facebook.com/groups/LitRPG.books/posts/25880895524840439/" TargetMode="External"/><Relationship Id="rId100" Type="http://schemas.openxmlformats.org/officeDocument/2006/relationships/hyperlink" Target="https://www.instagram.com/p/DRuRhvBjEG-/" TargetMode="External"/><Relationship Id="rId105" Type="http://schemas.openxmlformats.org/officeDocument/2006/relationships/hyperlink" Target="https://www.reddit.com/r/DunkinDonuts/comments/1pyy5xa/my_dunkin_2025_rewards_recap/" TargetMode="External"/><Relationship Id="rId126" Type="http://schemas.openxmlformats.org/officeDocument/2006/relationships/hyperlink" Target="https://www.instagram.com/p/DSYUA6VkjWs/" TargetMode="External"/><Relationship Id="rId147" Type="http://schemas.openxmlformats.org/officeDocument/2006/relationships/hyperlink" Target="https://x.com/itskirbelka/status/2006482279246475382" TargetMode="External"/><Relationship Id="rId8" Type="http://schemas.openxmlformats.org/officeDocument/2006/relationships/hyperlink" Target="https://www.businessinsider.com/spotify-linkedin-youtube-partiful-straval-recaps-2025-12" TargetMode="External"/><Relationship Id="rId51" Type="http://schemas.openxmlformats.org/officeDocument/2006/relationships/hyperlink" Target="https://techcrunch.com/2025/12/03/spotifys-2025-wrapped-becomes-a-multiplayer-experience/" TargetMode="External"/><Relationship Id="rId72" Type="http://schemas.openxmlformats.org/officeDocument/2006/relationships/hyperlink" Target="https://mashable.com/article/monzo-wrapped-end-of-year" TargetMode="External"/><Relationship Id="rId93" Type="http://schemas.openxmlformats.org/officeDocument/2006/relationships/hyperlink" Target="https://www.reddit.com/r/CARROTweather/comments/1hrupmb/year_in_review/" TargetMode="External"/><Relationship Id="rId98" Type="http://schemas.openxmlformats.org/officeDocument/2006/relationships/hyperlink" Target="https://www.reddit.com/r/Daylio/comments/1q3tmf4/my_2025_in_pixels_39m/" TargetMode="External"/><Relationship Id="rId121" Type="http://schemas.openxmlformats.org/officeDocument/2006/relationships/hyperlink" Target="https://community.monzo.com/t/year-in-monzo-2025-is-here/187028/3" TargetMode="External"/><Relationship Id="rId142" Type="http://schemas.openxmlformats.org/officeDocument/2006/relationships/hyperlink" Target="https://www.reddit.com/media?url=https%3A%2F%2Fpreview.redd.it%2F2025-wrap-up-v0-8flqqxa80mag1.jpeg%3Fwidth%3D1356%26format%3Dpjpg%26auto%3Dwebp%26s%3Dc049a36997fa839aa2b51a02ba98b7600a8a8f42" TargetMode="External"/><Relationship Id="rId3" Type="http://schemas.openxmlformats.org/officeDocument/2006/relationships/hyperlink" Target="https://www.usatoday.com/story/entertainment/2025/12/02/2025-year-end-wrapped-recaps-guide/87567558007/" TargetMode="External"/><Relationship Id="rId25" Type="http://schemas.openxmlformats.org/officeDocument/2006/relationships/hyperlink" Target="https://www.reddit.com/r/socialmedia/comments/18cptis/what_are_some_other_services_that_offer_yearend/" TargetMode="External"/><Relationship Id="rId46" Type="http://schemas.openxmlformats.org/officeDocument/2006/relationships/hyperlink" Target="https://www.tiktok.com/@krangel6711/video/7588737849034378551" TargetMode="External"/><Relationship Id="rId67" Type="http://schemas.openxmlformats.org/officeDocument/2006/relationships/hyperlink" Target="https://www.pelobuddy.com/year-review-victory-lap-2025/" TargetMode="External"/><Relationship Id="rId116" Type="http://schemas.openxmlformats.org/officeDocument/2006/relationships/hyperlink" Target="https://www.reddit.com/r/lastfm/comments/1q2cokz/2025_playback_stats/" TargetMode="External"/><Relationship Id="rId137" Type="http://schemas.openxmlformats.org/officeDocument/2006/relationships/hyperlink" Target="https://x.com/ripflexxico/status/1996375550424977470" TargetMode="External"/><Relationship Id="rId158" Type="http://schemas.openxmlformats.org/officeDocument/2006/relationships/hyperlink" Target="https://www.bgstatsapp.com/2025/12/11/year-stats-2025/" TargetMode="External"/><Relationship Id="rId20" Type="http://schemas.openxmlformats.org/officeDocument/2006/relationships/hyperlink" Target="https://techcrunch.com/2025/12/06/spotify-wrapped-2024-is-almost-here-its-time-to-explore-all-the-copycats/" TargetMode="External"/><Relationship Id="rId41" Type="http://schemas.openxmlformats.org/officeDocument/2006/relationships/hyperlink" Target="https://techcrunch.com/2021/12/16/hulu-rolls-out-personalized-end-of-year-recaps-with-stats-about-users-streaming-habits/" TargetMode="External"/><Relationship Id="rId62" Type="http://schemas.openxmlformats.org/officeDocument/2006/relationships/hyperlink" Target="https://lifehacker.com/health/garmin-year-in-review-connect-plus-feature" TargetMode="External"/><Relationship Id="rId83" Type="http://schemas.openxmlformats.org/officeDocument/2006/relationships/hyperlink" Target="https://blog.google/products-and-platforms/products/photos/google-photos-2025-recap/" TargetMode="External"/><Relationship Id="rId88" Type="http://schemas.openxmlformats.org/officeDocument/2006/relationships/hyperlink" Target="https://www.reddit.com/r/AmazonMusic/comments/1pc6ydv/2025_amazon_music_delivered_is_out/" TargetMode="External"/><Relationship Id="rId111" Type="http://schemas.openxmlformats.org/officeDocument/2006/relationships/hyperlink" Target="https://www.instagram.com/p/DSRl1H4DX0B/" TargetMode="External"/><Relationship Id="rId132" Type="http://schemas.openxmlformats.org/officeDocument/2006/relationships/hyperlink" Target="https://www.reddit.com/r/OnePelotonRealSub/comments/1pul6xw/i_mean_obviously/" TargetMode="External"/><Relationship Id="rId153" Type="http://schemas.openxmlformats.org/officeDocument/2006/relationships/hyperlink" Target="https://www.reddit.com/r/youtube/comments/1pcn0tc/2025_recap_is_here/" TargetMode="External"/><Relationship Id="rId15" Type="http://schemas.openxmlformats.org/officeDocument/2006/relationships/hyperlink" Target="https://techcrunch.com/2025/12/06/spotify-wrapped-2024-is-almost-here-its-time-to-explore-all-the-copycats/" TargetMode="External"/><Relationship Id="rId36" Type="http://schemas.openxmlformats.org/officeDocument/2006/relationships/hyperlink" Target="https://en.deezercommunity.com/product-updates/my-deezer-year-2025-updated-relive-your-year-in-music-81757" TargetMode="External"/><Relationship Id="rId57" Type="http://schemas.openxmlformats.org/officeDocument/2006/relationships/hyperlink" Target="https://www.uber.com/newsroom/introducing-youber-2025/" TargetMode="External"/><Relationship Id="rId106" Type="http://schemas.openxmlformats.org/officeDocument/2006/relationships/hyperlink" Target="https://www.reddit.com/r/duolingo/comments/1pczy41/my_2025_recap/" TargetMode="External"/><Relationship Id="rId127" Type="http://schemas.openxmlformats.org/officeDocument/2006/relationships/hyperlink" Target="https://www.reddit.com/r/ouraring/comments/1pq1k7h/what_element_did_you_get/" TargetMode="External"/><Relationship Id="rId10" Type="http://schemas.openxmlformats.org/officeDocument/2006/relationships/hyperlink" Target="https://people.com/uber-launches-youber-2025-a-personalized-year-in-review-exclusive-11868051" TargetMode="External"/><Relationship Id="rId31" Type="http://schemas.openxmlformats.org/officeDocument/2006/relationships/hyperlink" Target="https://www.aboutamazon.com/news/entertainment/amazon-music-delivered-streaming-insights" TargetMode="External"/><Relationship Id="rId52" Type="http://schemas.openxmlformats.org/officeDocument/2006/relationships/hyperlink" Target="https://www.reddit.com/r/starbucks/comments/109amys/anyone_else_visited_more_this_recap_is_horrifying/" TargetMode="External"/><Relationship Id="rId73" Type="http://schemas.openxmlformats.org/officeDocument/2006/relationships/hyperlink" Target="https://community.monzo.com/t/year-in-monzo-2025-is-here/187028" TargetMode="External"/><Relationship Id="rId78" Type="http://schemas.openxmlformats.org/officeDocument/2006/relationships/hyperlink" Target="https://appleinsider.com/inside/apple-services/tips/how-to-see-all-the-books-you-read-in-2025-with-apple-books" TargetMode="External"/><Relationship Id="rId94" Type="http://schemas.openxmlformats.org/officeDocument/2006/relationships/hyperlink" Target="https://www.reddit.com/r/MyBoyfriendIsAI/comments/1pt9a0y/lets_share_your_year_with_chatgpt_stats/" TargetMode="External"/><Relationship Id="rId99" Type="http://schemas.openxmlformats.org/officeDocument/2006/relationships/hyperlink" Target="https://www.reddit.com/r/notinteresting/comments/1q0umuw/my_2025_year_in_pixels/" TargetMode="External"/><Relationship Id="rId101" Type="http://schemas.openxmlformats.org/officeDocument/2006/relationships/hyperlink" Target="https://www.instagram.com/p/DSav-R0EmST/" TargetMode="External"/><Relationship Id="rId122" Type="http://schemas.openxmlformats.org/officeDocument/2006/relationships/hyperlink" Target="https://myanimelist.net/wrap-up/Paprikaa1/2025/anime?section=_r_1k_" TargetMode="External"/><Relationship Id="rId143" Type="http://schemas.openxmlformats.org/officeDocument/2006/relationships/hyperlink" Target="https://www.reddit.com/r/Strava/comments/1p8u5oa/2025_year_in_sport_visualisation_tool/" TargetMode="External"/><Relationship Id="rId148" Type="http://schemas.openxmlformats.org/officeDocument/2006/relationships/hyperlink" Target="https://www.threads.com/@uber/post/DSSsSvIjoVI" TargetMode="External"/><Relationship Id="rId4" Type="http://schemas.openxmlformats.org/officeDocument/2006/relationships/hyperlink" Target="https://www.usatoday.com/story/entertainment/2025/12/02/2025-year-end-wrapped-recaps-guide/87567558007/" TargetMode="External"/><Relationship Id="rId9" Type="http://schemas.openxmlformats.org/officeDocument/2006/relationships/hyperlink" Target="https://people.com/uber-launches-youber-2025-a-personalized-year-in-review-exclusive-11868051" TargetMode="External"/><Relationship Id="rId26" Type="http://schemas.openxmlformats.org/officeDocument/2006/relationships/hyperlink" Target="https://www.makeuseof.com/spotify-wrapped-copycats/" TargetMode="External"/><Relationship Id="rId47" Type="http://schemas.openxmlformats.org/officeDocument/2006/relationships/hyperlink" Target="https://partiful.com/blog/post/your-year-in-parties-the-partiful-2025-after-party-recap" TargetMode="External"/><Relationship Id="rId68" Type="http://schemas.openxmlformats.org/officeDocument/2006/relationships/hyperlink" Target="https://www.goodreads.com/blog/show/3064-get-ready-for-year-in-books-2025" TargetMode="External"/><Relationship Id="rId89" Type="http://schemas.openxmlformats.org/officeDocument/2006/relationships/hyperlink" Target="https://www.instagram.com/p/DS9vaESCCL1/?img_index=6" TargetMode="External"/><Relationship Id="rId112" Type="http://schemas.openxmlformats.org/officeDocument/2006/relationships/hyperlink" Target="https://www.reddit.com/r/Hevy/comments/1pi45iv/my_yearly_review/" TargetMode="External"/><Relationship Id="rId133" Type="http://schemas.openxmlformats.org/officeDocument/2006/relationships/hyperlink" Target="https://www.reddit.com/r/OnePelotonRealSub/comments/1pwgkdg/i_love_the_victory_lap/" TargetMode="External"/><Relationship Id="rId154" Type="http://schemas.openxmlformats.org/officeDocument/2006/relationships/hyperlink" Target="https://www.reddit.com/r/youtube/comments/1pct7bi/my_youtube_2025_recap/" TargetMode="External"/><Relationship Id="rId16" Type="http://schemas.openxmlformats.org/officeDocument/2006/relationships/hyperlink" Target="https://techcrunch.com/2025/12/06/spotify-wrapped-2024-is-almost-here-its-time-to-explore-all-the-copycats/" TargetMode="External"/><Relationship Id="rId37" Type="http://schemas.openxmlformats.org/officeDocument/2006/relationships/hyperlink" Target="https://discord.com/blog/checkpoint-2025-discord-year-in-review" TargetMode="External"/><Relationship Id="rId58" Type="http://schemas.openxmlformats.org/officeDocument/2006/relationships/hyperlink" Target="https://www.reddit.com/r/xbox/comments/1piftx6/your_xbox_stats_for_2025_are_now_live_with_xbox/" TargetMode="External"/><Relationship Id="rId79" Type="http://schemas.openxmlformats.org/officeDocument/2006/relationships/hyperlink" Target="https://udisc.com/replay" TargetMode="External"/><Relationship Id="rId102" Type="http://schemas.openxmlformats.org/officeDocument/2006/relationships/hyperlink" Target="https://www.instagram.com/p/DR7bTe8DZ-d/" TargetMode="External"/><Relationship Id="rId123" Type="http://schemas.openxmlformats.org/officeDocument/2006/relationships/hyperlink" Target="https://www.reddit.com/media?url=https%3A%2F%2Fpreview.redd.it%2Fnintendo-switch-2025-year-in-review-v0-95qd8tuez5dg1.jpeg%3Fwidth%3D1080%26format%3Dpjpg%26auto%3Dwebp%26s%3Da22aab66cd1a2a842623f97523b11cd9f77ddb45" TargetMode="External"/><Relationship Id="rId144" Type="http://schemas.openxmlformats.org/officeDocument/2006/relationships/hyperlink" Target="https://www.reddit.com/r/TIdaL/comments/1pciv9z/2025_recap/" TargetMode="External"/><Relationship Id="rId90" Type="http://schemas.openxmlformats.org/officeDocument/2006/relationships/hyperlink" Target="https://www.reddit.com/r/mili/comments/1pcf0gg/my_apple_music_replay_2025/" TargetMode="External"/><Relationship Id="rId27" Type="http://schemas.openxmlformats.org/officeDocument/2006/relationships/hyperlink" Target="https://www.theverge.com/news/837280/spotify-wrapped-2025-recap-annual-best-of-data" TargetMode="External"/><Relationship Id="rId48" Type="http://schemas.openxmlformats.org/officeDocument/2006/relationships/hyperlink" Target="https://www.pcmag.com/news/playstations-year-in-review-is-live-how-to-check-your-stats" TargetMode="External"/><Relationship Id="rId69" Type="http://schemas.openxmlformats.org/officeDocument/2006/relationships/hyperlink" Target="https://www.goodreads.com/blog/show/3064-get-ready-for-year-in-books-2025" TargetMode="External"/><Relationship Id="rId113" Type="http://schemas.openxmlformats.org/officeDocument/2006/relationships/hyperlink" Target="https://www.reddit.com/r/Hevy/comments/1phu0uu/my_year_in_review/" TargetMode="External"/><Relationship Id="rId134" Type="http://schemas.openxmlformats.org/officeDocument/2006/relationships/hyperlink" Target="https://www.reddit.com/r/pocketcasts/comments/1gpym5t/2024_playback_is_now_available_whats_everyones/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ddit.com/r/DunkinDonuts/comments/1pyy5xa/my_dunkin_2025_rewards_recap/" TargetMode="External"/><Relationship Id="rId21" Type="http://schemas.openxmlformats.org/officeDocument/2006/relationships/hyperlink" Target="https://techcrunch.com/2025/12/06/spotify-wrapped-2024-is-almost-here-its-time-to-explore-all-the-copycats/" TargetMode="External"/><Relationship Id="rId42" Type="http://schemas.openxmlformats.org/officeDocument/2006/relationships/hyperlink" Target="https://en.deezercommunity.com/product-updates/my-deezer-year-2025-updated-relive-your-year-in-music-81757" TargetMode="External"/><Relationship Id="rId63" Type="http://schemas.openxmlformats.org/officeDocument/2006/relationships/hyperlink" Target="https://www.reddit.com/r/TIdaL/comments/1pd2es5/my_2025_recap_is_here/" TargetMode="External"/><Relationship Id="rId84" Type="http://schemas.openxmlformats.org/officeDocument/2006/relationships/hyperlink" Target="https://www.last.fm/user/alex_ferguson/listening-report/year/2025" TargetMode="External"/><Relationship Id="rId138" Type="http://schemas.openxmlformats.org/officeDocument/2006/relationships/hyperlink" Target="https://www.instagram.com/p/DS76U2nDRzU/" TargetMode="External"/><Relationship Id="rId159" Type="http://schemas.openxmlformats.org/officeDocument/2006/relationships/hyperlink" Target="https://x.com/IPinkthumb/status/2018281179569430718" TargetMode="External"/><Relationship Id="rId107" Type="http://schemas.openxmlformats.org/officeDocument/2006/relationships/hyperlink" Target="https://www.reddit.com/r/ChatGPT/comments/1ptc7g4/your_year_with_chatgpt_2025/" TargetMode="External"/><Relationship Id="rId11" Type="http://schemas.openxmlformats.org/officeDocument/2006/relationships/hyperlink" Target="https://www.businessinsider.com/spotify-linkedin-youtube-partiful-straval-recaps-2025-12" TargetMode="External"/><Relationship Id="rId32" Type="http://schemas.openxmlformats.org/officeDocument/2006/relationships/hyperlink" Target="https://www.theverge.com/news/837280/spotify-wrapped-2025-recap-annual-best-of-data" TargetMode="External"/><Relationship Id="rId53" Type="http://schemas.openxmlformats.org/officeDocument/2006/relationships/hyperlink" Target="https://www.tiktok.com/@krangel6711/video/7588737849034378551" TargetMode="External"/><Relationship Id="rId74" Type="http://schemas.openxmlformats.org/officeDocument/2006/relationships/hyperlink" Target="https://ouraring.com/blog/2025-year-in-review/" TargetMode="External"/><Relationship Id="rId128" Type="http://schemas.openxmlformats.org/officeDocument/2006/relationships/hyperlink" Target="https://www.instagram.com/p/DRz9g_1knF_/?img_index=5" TargetMode="External"/><Relationship Id="rId149" Type="http://schemas.openxmlformats.org/officeDocument/2006/relationships/hyperlink" Target="https://x.com/maxisleaze/status/1996428130278384051" TargetMode="External"/><Relationship Id="rId5" Type="http://schemas.openxmlformats.org/officeDocument/2006/relationships/hyperlink" Target="https://www.whoop.com/us/en/thelocker/whoop-year-in-review-2025/?srsltid=AfmBOopaoiGLyZGjitzfFXjSMTJlFW-nupcZ7qdcfw2Jpjm70myR3odD" TargetMode="External"/><Relationship Id="rId95" Type="http://schemas.openxmlformats.org/officeDocument/2006/relationships/hyperlink" Target="https://www.reddit.com/r/TheStoryGraph/comments/1q0daqi/2025_wrap_up/" TargetMode="External"/><Relationship Id="rId160" Type="http://schemas.openxmlformats.org/officeDocument/2006/relationships/hyperlink" Target="https://x.com/itskirbelka/status/2006482279246475382" TargetMode="External"/><Relationship Id="rId22" Type="http://schemas.openxmlformats.org/officeDocument/2006/relationships/hyperlink" Target="https://techcrunch.com/2025/12/06/spotify-wrapped-2024-is-almost-here-its-time-to-explore-all-the-copycats/" TargetMode="External"/><Relationship Id="rId43" Type="http://schemas.openxmlformats.org/officeDocument/2006/relationships/hyperlink" Target="https://discord.com/blog/checkpoint-2025-discord-year-in-review" TargetMode="External"/><Relationship Id="rId64" Type="http://schemas.openxmlformats.org/officeDocument/2006/relationships/hyperlink" Target="https://esports.gg/news/streamers/twitch-recap-2025/" TargetMode="External"/><Relationship Id="rId118" Type="http://schemas.openxmlformats.org/officeDocument/2006/relationships/hyperlink" Target="https://www.reddit.com/r/duolingo/comments/1pczy41/my_2025_recap/" TargetMode="External"/><Relationship Id="rId139" Type="http://schemas.openxmlformats.org/officeDocument/2006/relationships/hyperlink" Target="https://www.instagram.com/p/DSYUA6VkjWs/" TargetMode="External"/><Relationship Id="rId85" Type="http://schemas.openxmlformats.org/officeDocument/2006/relationships/hyperlink" Target="https://www.last.fm/user/alex_ferguson/listening-report/year/2025" TargetMode="External"/><Relationship Id="rId150" Type="http://schemas.openxmlformats.org/officeDocument/2006/relationships/hyperlink" Target="https://x.com/ripflexxico/status/1996375550424977470" TargetMode="External"/><Relationship Id="rId12" Type="http://schemas.openxmlformats.org/officeDocument/2006/relationships/hyperlink" Target="https://people.com/uber-launches-youber-2025-a-personalized-year-in-review-exclusive-11868051" TargetMode="External"/><Relationship Id="rId33" Type="http://schemas.openxmlformats.org/officeDocument/2006/relationships/hyperlink" Target="https://www.theverge.com/news/837280/spotify-wrapped-2025-recap-annual-best-of-data" TargetMode="External"/><Relationship Id="rId108" Type="http://schemas.openxmlformats.org/officeDocument/2006/relationships/hyperlink" Target="https://myanimelist.net/wrap-up/Corani/2025/anime?section=_r_1r_" TargetMode="External"/><Relationship Id="rId129" Type="http://schemas.openxmlformats.org/officeDocument/2006/relationships/hyperlink" Target="https://www.reddit.com/r/lastfm/comments/1q2cokz/2025_playback_stats/" TargetMode="External"/><Relationship Id="rId54" Type="http://schemas.openxmlformats.org/officeDocument/2006/relationships/hyperlink" Target="https://partiful.com/blog/post/your-year-in-parties-the-partiful-2025-after-party-recap" TargetMode="External"/><Relationship Id="rId70" Type="http://schemas.openxmlformats.org/officeDocument/2006/relationships/hyperlink" Target="https://www.reddit.com/r/YoutubeMusic/comments/1p5nwcc/2025_recap/" TargetMode="External"/><Relationship Id="rId75" Type="http://schemas.openxmlformats.org/officeDocument/2006/relationships/hyperlink" Target="https://ouraring.com/blog/2025-year-in-review/" TargetMode="External"/><Relationship Id="rId91" Type="http://schemas.openxmlformats.org/officeDocument/2006/relationships/hyperlink" Target="https://www.crunchyroll.com/news/announcements/2025/12/15/crunchyroll-arc-2025-anime-year-in-review" TargetMode="External"/><Relationship Id="rId96" Type="http://schemas.openxmlformats.org/officeDocument/2006/relationships/hyperlink" Target="https://www.reddit.com/r/TheStoryGraph/comments/1q0daqi/2025_wrap_up/" TargetMode="External"/><Relationship Id="rId140" Type="http://schemas.openxmlformats.org/officeDocument/2006/relationships/hyperlink" Target="https://www.reddit.com/r/ouraring/comments/1pq1k7h/what_element_did_you_get/" TargetMode="External"/><Relationship Id="rId145" Type="http://schemas.openxmlformats.org/officeDocument/2006/relationships/hyperlink" Target="https://www.reddit.com/r/OnePelotonRealSub/comments/1pul6xw/i_mean_obviously/" TargetMode="External"/><Relationship Id="rId161" Type="http://schemas.openxmlformats.org/officeDocument/2006/relationships/hyperlink" Target="https://www.threads.com/@uber/post/DSSsSvIjoVI" TargetMode="External"/><Relationship Id="rId166" Type="http://schemas.openxmlformats.org/officeDocument/2006/relationships/hyperlink" Target="https://x.com/jiunao_/status/2027470318806438349" TargetMode="External"/><Relationship Id="rId1" Type="http://schemas.openxmlformats.org/officeDocument/2006/relationships/hyperlink" Target="https://www.usatoday.com/story/entertainment/2025/12/02/2025-year-end-wrapped-recaps-guide/87567558007/" TargetMode="External"/><Relationship Id="rId6" Type="http://schemas.openxmlformats.org/officeDocument/2006/relationships/hyperlink" Target="https://wikimediafoundation.org/wikipedia-year-in-review-2025/" TargetMode="External"/><Relationship Id="rId23" Type="http://schemas.openxmlformats.org/officeDocument/2006/relationships/hyperlink" Target="https://techcrunch.com/2025/12/06/spotify-wrapped-2024-is-almost-here-its-time-to-explore-all-the-copycats/" TargetMode="External"/><Relationship Id="rId28" Type="http://schemas.openxmlformats.org/officeDocument/2006/relationships/hyperlink" Target="https://www.howtogeek.com/services-for-an-epic-wrapped-collection/" TargetMode="External"/><Relationship Id="rId49" Type="http://schemas.openxmlformats.org/officeDocument/2006/relationships/hyperlink" Target="https://www.instagram.com/p/DTF4AL-ksx9/" TargetMode="External"/><Relationship Id="rId114" Type="http://schemas.openxmlformats.org/officeDocument/2006/relationships/hyperlink" Target="https://www.instagram.com/p/DR7bTe8DZ-d/" TargetMode="External"/><Relationship Id="rId119" Type="http://schemas.openxmlformats.org/officeDocument/2006/relationships/hyperlink" Target="https://www.reddit.com/r/duolingo/comments/1pcjzvz/2025_year_review/" TargetMode="External"/><Relationship Id="rId44" Type="http://schemas.openxmlformats.org/officeDocument/2006/relationships/hyperlink" Target="https://www.reddit.com/r/DunkinDonuts/comments/1pna1a4/2025_dunkin_year_in_review/" TargetMode="External"/><Relationship Id="rId60" Type="http://schemas.openxmlformats.org/officeDocument/2006/relationships/hyperlink" Target="https://www.reddit.com/r/starbucks/comments/109amys/anyone_else_visited_more_this_recap_is_horrifying/" TargetMode="External"/><Relationship Id="rId65" Type="http://schemas.openxmlformats.org/officeDocument/2006/relationships/hyperlink" Target="https://www.uber.com/newsroom/introducing-youber-2025/" TargetMode="External"/><Relationship Id="rId81" Type="http://schemas.openxmlformats.org/officeDocument/2006/relationships/hyperlink" Target="https://www.reddit.com/r/crowbro/comments/1hd1pvt/did_you_know_instacart_does_a_yearly_wrapup_guess/" TargetMode="External"/><Relationship Id="rId86" Type="http://schemas.openxmlformats.org/officeDocument/2006/relationships/hyperlink" Target="https://playback.pocketcasts.com/" TargetMode="External"/><Relationship Id="rId130" Type="http://schemas.openxmlformats.org/officeDocument/2006/relationships/hyperlink" Target="https://www.reddit.com/r/lastfm/comments/1q2472v/2025_playback/" TargetMode="External"/><Relationship Id="rId135" Type="http://schemas.openxmlformats.org/officeDocument/2006/relationships/hyperlink" Target="https://myanimelist.net/wrap-up/Paprikaa1/2025/anime?section=_r_1k_" TargetMode="External"/><Relationship Id="rId151" Type="http://schemas.openxmlformats.org/officeDocument/2006/relationships/hyperlink" Target="https://www.reddit.com/r/spotifywrapped/new/" TargetMode="External"/><Relationship Id="rId156" Type="http://schemas.openxmlformats.org/officeDocument/2006/relationships/hyperlink" Target="https://www.reddit.com/r/Strava/comments/1p8u5oa/2025_year_in_sport_visualisation_tool/" TargetMode="External"/><Relationship Id="rId13" Type="http://schemas.openxmlformats.org/officeDocument/2006/relationships/hyperlink" Target="https://people.com/uber-launches-youber-2025-a-personalized-year-in-review-exclusive-11868051" TargetMode="External"/><Relationship Id="rId18" Type="http://schemas.openxmlformats.org/officeDocument/2006/relationships/hyperlink" Target="https://techcrunch.com/2025/12/06/spotify-wrapped-2024-is-almost-here-its-time-to-explore-all-the-copycats/" TargetMode="External"/><Relationship Id="rId39" Type="http://schemas.openxmlformats.org/officeDocument/2006/relationships/hyperlink" Target="https://www.reddit.com/r/CARROTweather/comments/1q15rek/my_2025_carrot/" TargetMode="External"/><Relationship Id="rId109" Type="http://schemas.openxmlformats.org/officeDocument/2006/relationships/hyperlink" Target="https://www.instagram.com/p/DSdiT9Hjspz/" TargetMode="External"/><Relationship Id="rId34" Type="http://schemas.openxmlformats.org/officeDocument/2006/relationships/hyperlink" Target="https://www.theverge.com/news/837280/spotify-wrapped-2025-recap-annual-best-of-data" TargetMode="External"/><Relationship Id="rId50" Type="http://schemas.openxmlformats.org/officeDocument/2006/relationships/hyperlink" Target="https://thetab.com/2025/12/18/so-heres-how-to-get-your-linkedin-wrapped-2025-because-its-actually-a-real-thing" TargetMode="External"/><Relationship Id="rId55" Type="http://schemas.openxmlformats.org/officeDocument/2006/relationships/hyperlink" Target="https://www.pcmag.com/news/playstations-year-in-review-is-live-how-to-check-your-stats" TargetMode="External"/><Relationship Id="rId76" Type="http://schemas.openxmlformats.org/officeDocument/2006/relationships/hyperlink" Target="https://www.pelobuddy.com/year-review-victory-lap-2025/" TargetMode="External"/><Relationship Id="rId97" Type="http://schemas.openxmlformats.org/officeDocument/2006/relationships/hyperlink" Target="https://www.reddit.com/r/MusicIndia/comments/1pc02iv/my_amazon_music_2025_wrapped_similar_to_spotify/" TargetMode="External"/><Relationship Id="rId104" Type="http://schemas.openxmlformats.org/officeDocument/2006/relationships/hyperlink" Target="https://www.reddit.com/r/CARROTweather/comments/1q15rek/my_2025_carrot/" TargetMode="External"/><Relationship Id="rId120" Type="http://schemas.openxmlformats.org/officeDocument/2006/relationships/hyperlink" Target="https://www.eightsleep.com/blog/eoy2025/?srsltid=AfmBOoqa9awo461tCMZbHyN1-5kvHuhQxMdrRiONTggR3D-gNL1sqe1s" TargetMode="External"/><Relationship Id="rId125" Type="http://schemas.openxmlformats.org/officeDocument/2006/relationships/hyperlink" Target="https://www.reddit.com/r/Hevy/comments/1pi45iv/my_yearly_review/" TargetMode="External"/><Relationship Id="rId141" Type="http://schemas.openxmlformats.org/officeDocument/2006/relationships/hyperlink" Target="https://www.reddit.com/r/Pandora/comments/1pejwxc/pandora_playback_wrapped/" TargetMode="External"/><Relationship Id="rId146" Type="http://schemas.openxmlformats.org/officeDocument/2006/relationships/hyperlink" Target="https://www.reddit.com/r/OnePelotonRealSub/comments/1pwgkdg/i_love_the_victory_lap/" TargetMode="External"/><Relationship Id="rId167" Type="http://schemas.openxmlformats.org/officeDocument/2006/relationships/hyperlink" Target="https://x.com/ijosepherhiga/status/2003632913326440581" TargetMode="External"/><Relationship Id="rId7" Type="http://schemas.openxmlformats.org/officeDocument/2006/relationships/hyperlink" Target="https://www.ap.org/news-highlights/spotlights/2025/2025-year-in-review/" TargetMode="External"/><Relationship Id="rId71" Type="http://schemas.openxmlformats.org/officeDocument/2006/relationships/hyperlink" Target="https://myanimelist.net/forum/?topicid=2247124" TargetMode="External"/><Relationship Id="rId92" Type="http://schemas.openxmlformats.org/officeDocument/2006/relationships/hyperlink" Target="https://www.crunchyroll.com/news/announcements/2025/12/15/crunchyroll-arc-2025-anime-year-in-review" TargetMode="External"/><Relationship Id="rId162" Type="http://schemas.openxmlformats.org/officeDocument/2006/relationships/hyperlink" Target="https://udisc.com/replay" TargetMode="External"/><Relationship Id="rId2" Type="http://schemas.openxmlformats.org/officeDocument/2006/relationships/hyperlink" Target="https://www.usatoday.com/story/entertainment/2025/12/02/2025-year-end-wrapped-recaps-guide/87567558007/" TargetMode="External"/><Relationship Id="rId29" Type="http://schemas.openxmlformats.org/officeDocument/2006/relationships/hyperlink" Target="https://www.howtogeek.com/services-for-an-epic-wrapped-collection/" TargetMode="External"/><Relationship Id="rId24" Type="http://schemas.openxmlformats.org/officeDocument/2006/relationships/hyperlink" Target="https://techcrunch.com/2025/12/06/spotify-wrapped-2024-is-almost-here-its-time-to-explore-all-the-copycats/" TargetMode="External"/><Relationship Id="rId40" Type="http://schemas.openxmlformats.org/officeDocument/2006/relationships/hyperlink" Target="https://www.findarticles.com/chatgpt-unveils-year-end-review-similar-to-spotify-wrapped/" TargetMode="External"/><Relationship Id="rId45" Type="http://schemas.openxmlformats.org/officeDocument/2006/relationships/hyperlink" Target="https://www.reddit.com/r/duolingo/comments/1plvsry/my_year_in_review_2025/" TargetMode="External"/><Relationship Id="rId66" Type="http://schemas.openxmlformats.org/officeDocument/2006/relationships/hyperlink" Target="https://www.linkedin.com/posts/whoop_its-back-the-most-anticipated-moment-of-activity-7404216406072004608-PF-f/" TargetMode="External"/><Relationship Id="rId87" Type="http://schemas.openxmlformats.org/officeDocument/2006/relationships/hyperlink" Target="https://www.facebook.com/groups/LitRPG.books/posts/25880895524840439/" TargetMode="External"/><Relationship Id="rId110" Type="http://schemas.openxmlformats.org/officeDocument/2006/relationships/hyperlink" Target="https://www.reddit.com/r/Daylio/comments/1q3tmf4/my_2025_in_pixels_39m/" TargetMode="External"/><Relationship Id="rId115" Type="http://schemas.openxmlformats.org/officeDocument/2006/relationships/hyperlink" Target="https://www.reddit.com/r/discordapp/comments/1p1n040/discord_is_working_on_checkpoint_a_yearly_recap/" TargetMode="External"/><Relationship Id="rId131" Type="http://schemas.openxmlformats.org/officeDocument/2006/relationships/hyperlink" Target="https://www.reddit.com/r/kindle/comments/1q10bvm/my_year_2025_with_goodreads_and_kindle_unlimited/" TargetMode="External"/><Relationship Id="rId136" Type="http://schemas.openxmlformats.org/officeDocument/2006/relationships/hyperlink" Target="https://www.reddit.com/media?url=https%3A%2F%2Fpreview.redd.it%2Fnintendo-switch-2025-year-in-review-v0-95qd8tuez5dg1.jpeg%3Fwidth%3D1080%26format%3Dpjpg%26auto%3Dwebp%26s%3Da22aab66cd1a2a842623f97523b11cd9f77ddb45" TargetMode="External"/><Relationship Id="rId157" Type="http://schemas.openxmlformats.org/officeDocument/2006/relationships/hyperlink" Target="https://www.reddit.com/r/TIdaL/comments/1pciv9z/2025_recap/" TargetMode="External"/><Relationship Id="rId61" Type="http://schemas.openxmlformats.org/officeDocument/2006/relationships/hyperlink" Target="https://www.pcmag.com/news/steam-replay-is-here-to-recap-your-year-in-pc-gaming" TargetMode="External"/><Relationship Id="rId82" Type="http://schemas.openxmlformats.org/officeDocument/2006/relationships/hyperlink" Target="https://mashable.com/article/monzo-wrapped-end-of-year" TargetMode="External"/><Relationship Id="rId152" Type="http://schemas.openxmlformats.org/officeDocument/2006/relationships/hyperlink" Target="https://www.reddit.com/r/starbucks/comments/18x247j/my_starbucks_2023_blend_did_the_math_on_how_much/" TargetMode="External"/><Relationship Id="rId19" Type="http://schemas.openxmlformats.org/officeDocument/2006/relationships/hyperlink" Target="https://techcrunch.com/2025/12/06/spotify-wrapped-2024-is-almost-here-its-time-to-explore-all-the-copycats/" TargetMode="External"/><Relationship Id="rId14" Type="http://schemas.openxmlformats.org/officeDocument/2006/relationships/hyperlink" Target="https://www.usnews.com/news/business/articles/2025-12-03/how-to-find-spotify-wrapped-youtube-recap-and-more-as-2025-comes-to-a-close" TargetMode="External"/><Relationship Id="rId30" Type="http://schemas.openxmlformats.org/officeDocument/2006/relationships/hyperlink" Target="https://www.reddit.com/r/socialmedia/comments/18cptis/what_are_some_other_services_that_offer_yearend/" TargetMode="External"/><Relationship Id="rId35" Type="http://schemas.openxmlformats.org/officeDocument/2006/relationships/hyperlink" Target="https://www.theverge.com/news/837280/spotify-wrapped-2025-recap-annual-best-of-data" TargetMode="External"/><Relationship Id="rId56" Type="http://schemas.openxmlformats.org/officeDocument/2006/relationships/hyperlink" Target="https://updates.reclaim.ai/announcements/reclaim-recapped-2025-your-year-in-review-is-here" TargetMode="External"/><Relationship Id="rId77" Type="http://schemas.openxmlformats.org/officeDocument/2006/relationships/hyperlink" Target="https://www.pelobuddy.com/year-review-victory-lap-2025/" TargetMode="External"/><Relationship Id="rId100" Type="http://schemas.openxmlformats.org/officeDocument/2006/relationships/hyperlink" Target="https://www.reddit.com/r/mili/comments/1pcf0gg/my_apple_music_replay_2025/" TargetMode="External"/><Relationship Id="rId105" Type="http://schemas.openxmlformats.org/officeDocument/2006/relationships/hyperlink" Target="https://www.reddit.com/r/CARROTweather/comments/1hrupmb/year_in_review/" TargetMode="External"/><Relationship Id="rId126" Type="http://schemas.openxmlformats.org/officeDocument/2006/relationships/hyperlink" Target="https://www.reddit.com/r/Hevy/comments/1phu0uu/my_year_in_review/" TargetMode="External"/><Relationship Id="rId147" Type="http://schemas.openxmlformats.org/officeDocument/2006/relationships/hyperlink" Target="https://www.reddit.com/r/pocketcasts/comments/1gpym5t/2024_playback_is_now_available_whats_everyones/" TargetMode="External"/><Relationship Id="rId168" Type="http://schemas.openxmlformats.org/officeDocument/2006/relationships/hyperlink" Target="https://www.reddit.com/r/youtube/comments/1pcn0tc/2025_recap_is_here/" TargetMode="External"/><Relationship Id="rId8" Type="http://schemas.openxmlformats.org/officeDocument/2006/relationships/hyperlink" Target="https://letterboxd.com/journal/2025-letterboxd-year-in-review-faq/" TargetMode="External"/><Relationship Id="rId51" Type="http://schemas.openxmlformats.org/officeDocument/2006/relationships/hyperlink" Target="https://www.nintendo.com/en-gb/News/2025/December/Personalise-your-Nintendo-experience-2987358.html?srsltid=AfmBOopmbM3stWZb4e7qLQ5fZ-uw6sPwGwNMgpC5pvT0XdfrzdMtdbet" TargetMode="External"/><Relationship Id="rId72" Type="http://schemas.openxmlformats.org/officeDocument/2006/relationships/hyperlink" Target="https://lifehacker.com/health/garmin-year-in-review-connect-plus-feature" TargetMode="External"/><Relationship Id="rId93" Type="http://schemas.openxmlformats.org/officeDocument/2006/relationships/hyperlink" Target="https://blog.google/products-and-platforms/products/photos/google-photos-2025-recap/" TargetMode="External"/><Relationship Id="rId98" Type="http://schemas.openxmlformats.org/officeDocument/2006/relationships/hyperlink" Target="https://www.reddit.com/r/AmazonMusic/comments/1pc6ydv/2025_amazon_music_delivered_is_out/" TargetMode="External"/><Relationship Id="rId121" Type="http://schemas.openxmlformats.org/officeDocument/2006/relationships/hyperlink" Target="https://www.reddit.com/r/Garmin/comments/1peucb0/if_anyone_is_curious_what_theyre_missing_from/" TargetMode="External"/><Relationship Id="rId142" Type="http://schemas.openxmlformats.org/officeDocument/2006/relationships/hyperlink" Target="https://x.com/bezi_ezi/status/2001729242594504786/photo/1" TargetMode="External"/><Relationship Id="rId163" Type="http://schemas.openxmlformats.org/officeDocument/2006/relationships/hyperlink" Target="https://www.facebook.com/groups/mhdgc/posts/10161967192121053/" TargetMode="External"/><Relationship Id="rId3" Type="http://schemas.openxmlformats.org/officeDocument/2006/relationships/hyperlink" Target="https://www.usatoday.com/story/entertainment/2025/12/02/2025-year-end-wrapped-recaps-guide/87567558007/" TargetMode="External"/><Relationship Id="rId25" Type="http://schemas.openxmlformats.org/officeDocument/2006/relationships/hyperlink" Target="https://techcrunch.com/2025/12/06/spotify-wrapped-2024-is-almost-here-its-time-to-explore-all-the-copycats/" TargetMode="External"/><Relationship Id="rId46" Type="http://schemas.openxmlformats.org/officeDocument/2006/relationships/hyperlink" Target="https://www.reddit.com/r/EightSleep/comments/1pq53l2/2025_recap/" TargetMode="External"/><Relationship Id="rId67" Type="http://schemas.openxmlformats.org/officeDocument/2006/relationships/hyperlink" Target="https://www.theverge.com/news/838989/wikipedia-year-in-review-2025-wrapped" TargetMode="External"/><Relationship Id="rId116" Type="http://schemas.openxmlformats.org/officeDocument/2006/relationships/hyperlink" Target="https://www.reddit.com/r/DunkinDonuts/comments/1pkcpz3/my_dunkin_year_in_review/" TargetMode="External"/><Relationship Id="rId137" Type="http://schemas.openxmlformats.org/officeDocument/2006/relationships/hyperlink" Target="https://www.reddit.com/media?url=https%3A%2F%2Fpreview.redd.it%2Fnintendo-switch-2025-year-in-review-megathread-v0-g234ksme17dg1.jpeg%3Fwidth%3D1080%26format%3Dpjpg%26auto%3Dwebp%26s%3D53b609f1098d5e644d89f78e2f6e4be8138bf6b9" TargetMode="External"/><Relationship Id="rId158" Type="http://schemas.openxmlformats.org/officeDocument/2006/relationships/hyperlink" Target="https://www.reddit.com/r/TIdaL/comments/1pcloks/tidal_rewind_2025/" TargetMode="External"/><Relationship Id="rId20" Type="http://schemas.openxmlformats.org/officeDocument/2006/relationships/hyperlink" Target="https://techcrunch.com/2025/12/06/spotify-wrapped-2024-is-almost-here-its-time-to-explore-all-the-copycats/" TargetMode="External"/><Relationship Id="rId41" Type="http://schemas.openxmlformats.org/officeDocument/2006/relationships/hyperlink" Target="https://www.reddit.com/r/Daylio/comments/1q0zyk6/2025_my_first_year_with_daylio/" TargetMode="External"/><Relationship Id="rId62" Type="http://schemas.openxmlformats.org/officeDocument/2006/relationships/hyperlink" Target="https://www.reddit.com/r/Strava/comments/1p8u5oa/2025_year_in_sport_visualisation_tool/" TargetMode="External"/><Relationship Id="rId83" Type="http://schemas.openxmlformats.org/officeDocument/2006/relationships/hyperlink" Target="https://community.monzo.com/t/year-in-monzo-2025-is-here/187028" TargetMode="External"/><Relationship Id="rId88" Type="http://schemas.openxmlformats.org/officeDocument/2006/relationships/hyperlink" Target="https://appleinsider.com/inside/apple-services/tips/how-to-see-all-the-books-you-read-in-2025-with-apple-books" TargetMode="External"/><Relationship Id="rId111" Type="http://schemas.openxmlformats.org/officeDocument/2006/relationships/hyperlink" Target="https://www.reddit.com/r/notinteresting/comments/1q0umuw/my_2025_year_in_pixels/" TargetMode="External"/><Relationship Id="rId132" Type="http://schemas.openxmlformats.org/officeDocument/2006/relationships/hyperlink" Target="https://letterboxd.com/2025/" TargetMode="External"/><Relationship Id="rId153" Type="http://schemas.openxmlformats.org/officeDocument/2006/relationships/hyperlink" Target="https://s.team/y25/nhpwbpd?l=english" TargetMode="External"/><Relationship Id="rId15" Type="http://schemas.openxmlformats.org/officeDocument/2006/relationships/hyperlink" Target="https://techcrunch.com/2025/12/15/snapchat-rolls-out-its-end-of-year-recaps/" TargetMode="External"/><Relationship Id="rId36" Type="http://schemas.openxmlformats.org/officeDocument/2006/relationships/hyperlink" Target="https://www.aboutamazon.com/news/entertainment/amazon-music-delivered-streaming-insights" TargetMode="External"/><Relationship Id="rId57" Type="http://schemas.openxmlformats.org/officeDocument/2006/relationships/hyperlink" Target="https://www.reddit.com/r/RedditWrappedApp/comments/1pnexs0/my_reddit_2025_year_in_review_roast_its_snarky/" TargetMode="External"/><Relationship Id="rId106" Type="http://schemas.openxmlformats.org/officeDocument/2006/relationships/hyperlink" Target="https://www.reddit.com/r/MyBoyfriendIsAI/comments/1pt9a0y/lets_share_your_year_with_chatgpt_stats/" TargetMode="External"/><Relationship Id="rId127" Type="http://schemas.openxmlformats.org/officeDocument/2006/relationships/hyperlink" Target="https://www.unit9.com/project/hulu-your-tv-dna" TargetMode="External"/><Relationship Id="rId10" Type="http://schemas.openxmlformats.org/officeDocument/2006/relationships/hyperlink" Target="https://www.businessinsider.com/spotify-linkedin-youtube-partiful-straval-recaps-2025-12" TargetMode="External"/><Relationship Id="rId31" Type="http://schemas.openxmlformats.org/officeDocument/2006/relationships/hyperlink" Target="https://www.makeuseof.com/spotify-wrapped-copycats/" TargetMode="External"/><Relationship Id="rId52" Type="http://schemas.openxmlformats.org/officeDocument/2006/relationships/hyperlink" Target="https://thetab.com/2025/12/18/nyt-games-has-launched-a-wrapped-for-wordle-and-its-other-games-heres-how-to-do-it" TargetMode="External"/><Relationship Id="rId73" Type="http://schemas.openxmlformats.org/officeDocument/2006/relationships/hyperlink" Target="https://www.instagram.com/p/DR9-ARWDLuL/?img_index=3" TargetMode="External"/><Relationship Id="rId78" Type="http://schemas.openxmlformats.org/officeDocument/2006/relationships/hyperlink" Target="https://www.goodreads.com/blog/show/3064-get-ready-for-year-in-books-2025" TargetMode="External"/><Relationship Id="rId94" Type="http://schemas.openxmlformats.org/officeDocument/2006/relationships/hyperlink" Target="https://blog.google/products-and-platforms/products/photos/google-photos-2025-recap/" TargetMode="External"/><Relationship Id="rId99" Type="http://schemas.openxmlformats.org/officeDocument/2006/relationships/hyperlink" Target="https://www.instagram.com/p/DS9vaESCCL1/?img_index=6" TargetMode="External"/><Relationship Id="rId101" Type="http://schemas.openxmlformats.org/officeDocument/2006/relationships/hyperlink" Target="https://www.instagram.com/p/DRxky3vkf-y/" TargetMode="External"/><Relationship Id="rId122" Type="http://schemas.openxmlformats.org/officeDocument/2006/relationships/hyperlink" Target="https://www.instagram.com/p/DSx6loaj4_3/" TargetMode="External"/><Relationship Id="rId143" Type="http://schemas.openxmlformats.org/officeDocument/2006/relationships/hyperlink" Target="https://www.reddit.com/media?url=https%3A%2F%2Fpreview.redd.it%2Fplaystation-2025-wrap-up-sharing-megathread-v0-b9c5yzz9v3cg1.jpeg%3Fwidth%3D1080%26format%3Dpjpg%26auto%3Dwebp%26s%3D67ee621059f5f4c50c46eb9ea85faa6391855b7c" TargetMode="External"/><Relationship Id="rId148" Type="http://schemas.openxmlformats.org/officeDocument/2006/relationships/hyperlink" Target="https://www.reddit.com/r/pocketcasts/comments/1ph8wxe/my_2025_playback/" TargetMode="External"/><Relationship Id="rId164" Type="http://schemas.openxmlformats.org/officeDocument/2006/relationships/hyperlink" Target="https://www.whoop.com/us/en/thelocker/whoop-year-in-review-2025/?srsltid=AfmBOooEs2tdkI62N1JP_2NW0SLSg8LFjInEfSv0VtaXQc0yCwFWvlIs" TargetMode="External"/><Relationship Id="rId169" Type="http://schemas.openxmlformats.org/officeDocument/2006/relationships/hyperlink" Target="https://www.reddit.com/r/youtube/comments/1pct7bi/my_youtube_2025_recap/" TargetMode="External"/><Relationship Id="rId4" Type="http://schemas.openxmlformats.org/officeDocument/2006/relationships/hyperlink" Target="https://www.usatoday.com/story/entertainment/2025/12/02/2025-year-end-wrapped-recaps-guide/87567558007/" TargetMode="External"/><Relationship Id="rId9" Type="http://schemas.openxmlformats.org/officeDocument/2006/relationships/hyperlink" Target="https://www.businessinsider.com/spotify-linkedin-youtube-partiful-straval-recaps-2025-12" TargetMode="External"/><Relationship Id="rId26" Type="http://schemas.openxmlformats.org/officeDocument/2006/relationships/hyperlink" Target="https://techcrunch.com/2025/12/06/spotify-wrapped-2024-is-almost-here-its-time-to-explore-all-the-copycats/" TargetMode="External"/><Relationship Id="rId47" Type="http://schemas.openxmlformats.org/officeDocument/2006/relationships/hyperlink" Target="https://www.reddit.com/r/Hevy/comments/1pi45iv/my_yearly_review/" TargetMode="External"/><Relationship Id="rId68" Type="http://schemas.openxmlformats.org/officeDocument/2006/relationships/hyperlink" Target="https://www.reddit.com/r/xbox/comments/1piftx6/your_xbox_stats_for_2025_are_now_live_with_xbox/" TargetMode="External"/><Relationship Id="rId89" Type="http://schemas.openxmlformats.org/officeDocument/2006/relationships/hyperlink" Target="https://udisc.com/replay" TargetMode="External"/><Relationship Id="rId112" Type="http://schemas.openxmlformats.org/officeDocument/2006/relationships/hyperlink" Target="https://www.instagram.com/p/DRuRhvBjEG-/" TargetMode="External"/><Relationship Id="rId133" Type="http://schemas.openxmlformats.org/officeDocument/2006/relationships/hyperlink" Target="https://www.instagram.com/p/DSlBSFECu0w/" TargetMode="External"/><Relationship Id="rId154" Type="http://schemas.openxmlformats.org/officeDocument/2006/relationships/hyperlink" Target="https://www.reddit.com/media?url=https%3A%2F%2Fpreview.redd.it%2F2025-wrap-up-v0-uqt53xjr0mag1.jpeg%3Fwidth%3D1356%26format%3Dpjpg%26auto%3Dwebp%26s%3De7c579543455cd63b5a03be7b574716785823ca8" TargetMode="External"/><Relationship Id="rId16" Type="http://schemas.openxmlformats.org/officeDocument/2006/relationships/hyperlink" Target="https://techcrunch.com/2025/12/06/spotify-wrapped-2024-is-almost-here-its-time-to-explore-all-the-copycats/" TargetMode="External"/><Relationship Id="rId37" Type="http://schemas.openxmlformats.org/officeDocument/2006/relationships/hyperlink" Target="https://www.today.com/popculture/music/apple-music-replay-2025-rcna247075" TargetMode="External"/><Relationship Id="rId58" Type="http://schemas.openxmlformats.org/officeDocument/2006/relationships/hyperlink" Target="https://www.reddit.com/r/soundcloud/comments/1pd39oi/i_wonder_how_much_time_you_people_listened_to/" TargetMode="External"/><Relationship Id="rId79" Type="http://schemas.openxmlformats.org/officeDocument/2006/relationships/hyperlink" Target="https://www.goodreads.com/blog/show/3064-get-ready-for-year-in-books-2025" TargetMode="External"/><Relationship Id="rId102" Type="http://schemas.openxmlformats.org/officeDocument/2006/relationships/hyperlink" Target="https://www.ap.org/news-highlights/spotlights/2025/2025-year-in-review/" TargetMode="External"/><Relationship Id="rId123" Type="http://schemas.openxmlformats.org/officeDocument/2006/relationships/hyperlink" Target="https://www.instagram.com/p/DS2pabvDiFE/" TargetMode="External"/><Relationship Id="rId144" Type="http://schemas.openxmlformats.org/officeDocument/2006/relationships/hyperlink" Target="https://www.reddit.com/r/Trophies/comments/1pigqln/playstation_wrapup_2025_how_do_you_kill_that/" TargetMode="External"/><Relationship Id="rId90" Type="http://schemas.openxmlformats.org/officeDocument/2006/relationships/hyperlink" Target="https://udisc.com/replay" TargetMode="External"/><Relationship Id="rId165" Type="http://schemas.openxmlformats.org/officeDocument/2006/relationships/hyperlink" Target="https://wikimediafoundation.org/wikipedia-year-in-review-2025/" TargetMode="External"/><Relationship Id="rId27" Type="http://schemas.openxmlformats.org/officeDocument/2006/relationships/hyperlink" Target="https://www.howtogeek.com/services-for-an-epic-wrapped-collection/" TargetMode="External"/><Relationship Id="rId48" Type="http://schemas.openxmlformats.org/officeDocument/2006/relationships/hyperlink" Target="https://techcrunch.com/2021/12/16/hulu-rolls-out-personalized-end-of-year-recaps-with-stats-about-users-streaming-habits/" TargetMode="External"/><Relationship Id="rId69" Type="http://schemas.openxmlformats.org/officeDocument/2006/relationships/hyperlink" Target="https://variety.com/2025/digital/news/youtube-recap-year-end-videos-2025-trending-lists-1236592922/" TargetMode="External"/><Relationship Id="rId113" Type="http://schemas.openxmlformats.org/officeDocument/2006/relationships/hyperlink" Target="https://www.instagram.com/p/DSav-R0EmST/" TargetMode="External"/><Relationship Id="rId134" Type="http://schemas.openxmlformats.org/officeDocument/2006/relationships/hyperlink" Target="https://community.monzo.com/t/year-in-monzo-2025-is-here/187028/3" TargetMode="External"/><Relationship Id="rId80" Type="http://schemas.openxmlformats.org/officeDocument/2006/relationships/hyperlink" Target="https://www.reddit.com/r/crowbro/comments/1hd1pvt/did_you_know_instacart_does_a_yearly_wrapup_guess/" TargetMode="External"/><Relationship Id="rId155" Type="http://schemas.openxmlformats.org/officeDocument/2006/relationships/hyperlink" Target="https://www.reddit.com/media?url=https%3A%2F%2Fpreview.redd.it%2F2025-wrap-up-v0-8flqqxa80mag1.jpeg%3Fwidth%3D1356%26format%3Dpjpg%26auto%3Dwebp%26s%3Dc049a36997fa839aa2b51a02ba98b7600a8a8f42" TargetMode="External"/><Relationship Id="rId17" Type="http://schemas.openxmlformats.org/officeDocument/2006/relationships/hyperlink" Target="https://techcrunch.com/2025/12/06/spotify-wrapped-2024-is-almost-here-its-time-to-explore-all-the-copycats/" TargetMode="External"/><Relationship Id="rId38" Type="http://schemas.openxmlformats.org/officeDocument/2006/relationships/hyperlink" Target="https://www.ap.org/news-highlights/spotlights/2025/2025-year-in-review/" TargetMode="External"/><Relationship Id="rId59" Type="http://schemas.openxmlformats.org/officeDocument/2006/relationships/hyperlink" Target="https://techcrunch.com/2025/12/03/spotifys-2025-wrapped-becomes-a-multiplayer-experience/" TargetMode="External"/><Relationship Id="rId103" Type="http://schemas.openxmlformats.org/officeDocument/2006/relationships/hyperlink" Target="https://apnews.com/hub/year-in-review" TargetMode="External"/><Relationship Id="rId124" Type="http://schemas.openxmlformats.org/officeDocument/2006/relationships/hyperlink" Target="https://www.instagram.com/p/DSRl1H4DX0B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people.com/uber-launches-youber-2025-a-personalized-year-in-review-exclusive-11868051" TargetMode="External"/><Relationship Id="rId3" Type="http://schemas.openxmlformats.org/officeDocument/2006/relationships/hyperlink" Target="https://www.businessinsider.com/spotify-linkedin-youtube-partiful-straval-recaps-2025-12" TargetMode="External"/><Relationship Id="rId7" Type="http://schemas.openxmlformats.org/officeDocument/2006/relationships/hyperlink" Target="https://www.mymobileindia.com/snapchat-starts-rolling-out-2025-recaps-heres-how-to-view-your-year-in-review/" TargetMode="External"/><Relationship Id="rId12" Type="http://schemas.openxmlformats.org/officeDocument/2006/relationships/hyperlink" Target="https://wikimediafoundation.org/wikipedia-year-in-review-2025/" TargetMode="External"/><Relationship Id="rId2" Type="http://schemas.openxmlformats.org/officeDocument/2006/relationships/hyperlink" Target="https://www.usnews.com/news/business/articles/2025-12-03/how-to-find-spotify-wrapped-youtube-recap-and-more-as-2025-comes-to-a-close" TargetMode="External"/><Relationship Id="rId1" Type="http://schemas.openxmlformats.org/officeDocument/2006/relationships/hyperlink" Target="https://www.usatoday.com/story/entertainment/2025/12/02/2025-year-end-wrapped-recaps-guide/87567558007/" TargetMode="External"/><Relationship Id="rId6" Type="http://schemas.openxmlformats.org/officeDocument/2006/relationships/hyperlink" Target="https://deadline.com/2025/12/youtube-recap-feature-top-trends-creators-2025-1236632997/" TargetMode="External"/><Relationship Id="rId11" Type="http://schemas.openxmlformats.org/officeDocument/2006/relationships/hyperlink" Target="https://www.whoop.com/us/en/thelocker/whoop-year-in-review-2025/?srsltid=AfmBOopaoiGLyZGjitzfFXjSMTJlFW-nupcZ7qdcfw2Jpjm70myR3odD" TargetMode="External"/><Relationship Id="rId5" Type="http://schemas.openxmlformats.org/officeDocument/2006/relationships/hyperlink" Target="https://techcrunch.com/2025/12/15/snapchat-rolls-out-its-end-of-year-recaps/" TargetMode="External"/><Relationship Id="rId10" Type="http://schemas.openxmlformats.org/officeDocument/2006/relationships/hyperlink" Target="https://www.ap.org/news-highlights/spotlights/2025/2025-year-in-review/" TargetMode="External"/><Relationship Id="rId4" Type="http://schemas.openxmlformats.org/officeDocument/2006/relationships/hyperlink" Target="https://www.popsci.com/diy/year-in-review-apps/" TargetMode="External"/><Relationship Id="rId9" Type="http://schemas.openxmlformats.org/officeDocument/2006/relationships/hyperlink" Target="https://letterboxd.com/journal/2025-letterboxd-year-in-review-faq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446E-8DAB-4636-BD62-AAB31B381AE2}">
  <dimension ref="A1:B27"/>
  <sheetViews>
    <sheetView topLeftCell="A29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 ht="15.75">
      <c r="A2" s="50" t="s">
        <v>2</v>
      </c>
      <c r="B2">
        <v>3</v>
      </c>
    </row>
    <row r="3" spans="1:2" ht="15.75">
      <c r="A3" s="50" t="s">
        <v>3</v>
      </c>
      <c r="B3">
        <v>8</v>
      </c>
    </row>
    <row r="4" spans="1:2" ht="15.75">
      <c r="A4" s="50" t="s">
        <v>4</v>
      </c>
      <c r="B4">
        <v>3</v>
      </c>
    </row>
    <row r="5" spans="1:2" ht="15.75">
      <c r="A5" s="50" t="s">
        <v>5</v>
      </c>
      <c r="B5">
        <v>1</v>
      </c>
    </row>
    <row r="6" spans="1:2" ht="15.75">
      <c r="A6" s="50" t="s">
        <v>6</v>
      </c>
      <c r="B6">
        <v>2</v>
      </c>
    </row>
    <row r="7" spans="1:2" ht="15.75">
      <c r="A7" s="50" t="s">
        <v>7</v>
      </c>
      <c r="B7">
        <v>1</v>
      </c>
    </row>
    <row r="8" spans="1:2" ht="15.75">
      <c r="A8" s="50" t="s">
        <v>8</v>
      </c>
      <c r="B8">
        <v>1</v>
      </c>
    </row>
    <row r="9" spans="1:2" ht="15.75">
      <c r="A9" s="50" t="s">
        <v>9</v>
      </c>
      <c r="B9">
        <v>1</v>
      </c>
    </row>
    <row r="10" spans="1:2" ht="15.75">
      <c r="A10" s="50" t="s">
        <v>10</v>
      </c>
      <c r="B10">
        <v>1</v>
      </c>
    </row>
    <row r="11" spans="1:2" ht="15.75">
      <c r="A11" s="50" t="s">
        <v>11</v>
      </c>
      <c r="B11">
        <v>1</v>
      </c>
    </row>
    <row r="12" spans="1:2" ht="15.75">
      <c r="A12" s="50" t="s">
        <v>12</v>
      </c>
      <c r="B12">
        <v>1</v>
      </c>
    </row>
    <row r="13" spans="1:2" ht="15.75">
      <c r="A13" s="50" t="s">
        <v>13</v>
      </c>
      <c r="B13">
        <v>1</v>
      </c>
    </row>
    <row r="14" spans="1:2" ht="15.75">
      <c r="A14" s="50" t="s">
        <v>14</v>
      </c>
      <c r="B14">
        <v>1</v>
      </c>
    </row>
    <row r="15" spans="1:2" ht="15.75">
      <c r="A15" s="50" t="s">
        <v>15</v>
      </c>
      <c r="B15">
        <v>1</v>
      </c>
    </row>
    <row r="16" spans="1:2" ht="15.75">
      <c r="A16" s="50" t="s">
        <v>16</v>
      </c>
      <c r="B16">
        <v>1</v>
      </c>
    </row>
    <row r="17" spans="1:2" ht="15.75">
      <c r="A17" s="50" t="s">
        <v>17</v>
      </c>
      <c r="B17">
        <v>1</v>
      </c>
    </row>
    <row r="18" spans="1:2" ht="15.75">
      <c r="A18" s="50" t="s">
        <v>18</v>
      </c>
      <c r="B18">
        <v>4</v>
      </c>
    </row>
    <row r="19" spans="1:2" ht="15.75">
      <c r="A19" s="50" t="s">
        <v>19</v>
      </c>
      <c r="B19">
        <v>1</v>
      </c>
    </row>
    <row r="20" spans="1:2" ht="15.75">
      <c r="A20" s="52" t="s">
        <v>20</v>
      </c>
      <c r="B20">
        <v>1</v>
      </c>
    </row>
    <row r="21" spans="1:2" ht="15.75">
      <c r="A21" s="52" t="s">
        <v>21</v>
      </c>
      <c r="B21">
        <v>4</v>
      </c>
    </row>
    <row r="22" spans="1:2" ht="15.75">
      <c r="A22" s="52" t="s">
        <v>22</v>
      </c>
      <c r="B22">
        <v>1</v>
      </c>
    </row>
    <row r="23" spans="1:2" ht="15.75">
      <c r="A23" s="52" t="s">
        <v>23</v>
      </c>
      <c r="B23">
        <v>2</v>
      </c>
    </row>
    <row r="24" spans="1:2" ht="15.75">
      <c r="A24" s="52" t="s">
        <v>24</v>
      </c>
      <c r="B24">
        <v>3</v>
      </c>
    </row>
    <row r="25" spans="1:2" ht="15.75">
      <c r="A25" s="52" t="s">
        <v>25</v>
      </c>
      <c r="B25">
        <v>1</v>
      </c>
    </row>
    <row r="26" spans="1:2" ht="15.75">
      <c r="A26" s="52" t="s">
        <v>26</v>
      </c>
      <c r="B26">
        <v>4</v>
      </c>
    </row>
    <row r="27" spans="1:2" ht="15.75">
      <c r="A27" s="52" t="s">
        <v>27</v>
      </c>
      <c r="B2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3810-80FC-4A51-A17A-162B49293FA4}">
  <sheetPr>
    <tabColor theme="5" tint="-0.249977111117893"/>
  </sheetPr>
  <dimension ref="A1:Z63"/>
  <sheetViews>
    <sheetView workbookViewId="0">
      <pane xSplit="1" ySplit="1" topLeftCell="B35" activePane="bottomRight" state="frozen"/>
      <selection pane="bottomRight" activeCell="P72" sqref="P72"/>
      <selection pane="bottomLeft"/>
      <selection pane="topRight"/>
    </sheetView>
  </sheetViews>
  <sheetFormatPr defaultRowHeight="15"/>
  <cols>
    <col min="1" max="1" width="18" bestFit="1" customWidth="1"/>
    <col min="2" max="2" width="13.42578125" bestFit="1" customWidth="1"/>
    <col min="3" max="3" width="12.7109375" bestFit="1" customWidth="1"/>
    <col min="4" max="4" width="17.5703125" bestFit="1" customWidth="1"/>
    <col min="5" max="5" width="16.85546875" bestFit="1" customWidth="1"/>
    <col min="6" max="6" width="19" bestFit="1" customWidth="1"/>
    <col min="7" max="7" width="14.140625" bestFit="1" customWidth="1"/>
    <col min="8" max="8" width="10.7109375" bestFit="1" customWidth="1"/>
    <col min="9" max="9" width="23" bestFit="1" customWidth="1"/>
    <col min="10" max="10" width="9.28515625" bestFit="1" customWidth="1"/>
    <col min="11" max="11" width="9.7109375" bestFit="1" customWidth="1"/>
    <col min="12" max="12" width="12" bestFit="1" customWidth="1"/>
    <col min="13" max="13" width="19.42578125" bestFit="1" customWidth="1"/>
    <col min="14" max="14" width="9.28515625" bestFit="1" customWidth="1"/>
    <col min="15" max="15" width="9.7109375" bestFit="1" customWidth="1"/>
    <col min="16" max="17" width="18.28515625" bestFit="1" customWidth="1"/>
    <col min="18" max="18" width="21.5703125" bestFit="1" customWidth="1"/>
    <col min="19" max="19" width="21.28515625" bestFit="1" customWidth="1"/>
    <col min="20" max="20" width="17.7109375" bestFit="1" customWidth="1"/>
    <col min="21" max="21" width="16.7109375" bestFit="1" customWidth="1"/>
    <col min="22" max="22" width="22.140625" bestFit="1" customWidth="1"/>
    <col min="23" max="23" width="16.5703125" bestFit="1" customWidth="1"/>
    <col min="24" max="24" width="8.85546875" bestFit="1" customWidth="1"/>
  </cols>
  <sheetData>
    <row r="1" spans="1:26" s="36" customFormat="1" ht="15.75">
      <c r="A1" s="56" t="s">
        <v>28</v>
      </c>
      <c r="B1" s="56" t="s">
        <v>29</v>
      </c>
      <c r="C1" s="56" t="s">
        <v>30</v>
      </c>
      <c r="D1" s="56" t="s">
        <v>31</v>
      </c>
      <c r="E1" s="56" t="s">
        <v>32</v>
      </c>
      <c r="F1" s="56" t="s">
        <v>33</v>
      </c>
      <c r="G1" s="56" t="s">
        <v>34</v>
      </c>
      <c r="H1" s="56" t="s">
        <v>35</v>
      </c>
      <c r="I1" s="56" t="s">
        <v>36</v>
      </c>
      <c r="J1" s="56" t="s">
        <v>37</v>
      </c>
      <c r="K1" s="56" t="s">
        <v>38</v>
      </c>
      <c r="L1" s="56" t="s">
        <v>39</v>
      </c>
      <c r="M1" s="56" t="s">
        <v>40</v>
      </c>
      <c r="N1" s="56" t="s">
        <v>41</v>
      </c>
      <c r="O1" s="56" t="s">
        <v>42</v>
      </c>
      <c r="P1" s="56" t="s">
        <v>43</v>
      </c>
      <c r="Q1" s="56" t="s">
        <v>44</v>
      </c>
      <c r="R1" s="56" t="s">
        <v>45</v>
      </c>
      <c r="S1" s="56" t="s">
        <v>46</v>
      </c>
      <c r="T1" s="56" t="s">
        <v>47</v>
      </c>
      <c r="U1" s="56" t="s">
        <v>48</v>
      </c>
      <c r="V1" s="56" t="s">
        <v>49</v>
      </c>
      <c r="W1" s="56" t="s">
        <v>50</v>
      </c>
      <c r="X1" s="56" t="s">
        <v>51</v>
      </c>
    </row>
    <row r="2" spans="1:26" ht="15.75">
      <c r="A2" s="50" t="s">
        <v>2</v>
      </c>
      <c r="B2" s="51"/>
      <c r="C2" s="51"/>
      <c r="D2" s="51" t="s">
        <v>52</v>
      </c>
      <c r="E2" s="51"/>
      <c r="F2" s="51"/>
      <c r="G2" s="51"/>
      <c r="H2" s="51" t="s">
        <v>52</v>
      </c>
      <c r="I2" s="51"/>
      <c r="J2" s="51" t="s">
        <v>52</v>
      </c>
      <c r="K2" s="51" t="s">
        <v>52</v>
      </c>
      <c r="L2" s="51"/>
      <c r="M2" s="51"/>
      <c r="N2" s="51" t="s">
        <v>52</v>
      </c>
      <c r="O2" s="51"/>
      <c r="P2" s="51"/>
      <c r="Q2" s="51"/>
      <c r="R2" s="51"/>
      <c r="S2" s="51"/>
      <c r="T2" s="51"/>
      <c r="U2" s="51"/>
      <c r="V2" s="51"/>
      <c r="W2" s="51"/>
      <c r="X2" s="51"/>
      <c r="Y2" s="63">
        <f t="shared" ref="Y2:Y27" si="0">COUNTIF(B2:X2,"=X")</f>
        <v>5</v>
      </c>
      <c r="Z2" s="64">
        <f>COUNTIF(B2:X2,"=X")/23</f>
        <v>0.21739130434782608</v>
      </c>
    </row>
    <row r="3" spans="1:26" ht="15.75">
      <c r="A3" s="50" t="s">
        <v>3</v>
      </c>
      <c r="B3" s="51" t="s">
        <v>52</v>
      </c>
      <c r="C3" s="51" t="s">
        <v>52</v>
      </c>
      <c r="D3" s="51"/>
      <c r="E3" s="51" t="s">
        <v>52</v>
      </c>
      <c r="F3" s="51"/>
      <c r="G3" s="51"/>
      <c r="H3" s="51" t="s">
        <v>52</v>
      </c>
      <c r="I3" s="51" t="s">
        <v>52</v>
      </c>
      <c r="J3" s="51" t="s">
        <v>52</v>
      </c>
      <c r="K3" s="51"/>
      <c r="L3" s="51" t="s">
        <v>52</v>
      </c>
      <c r="M3" s="51" t="s">
        <v>52</v>
      </c>
      <c r="N3" s="51" t="s">
        <v>52</v>
      </c>
      <c r="O3" s="51"/>
      <c r="P3" s="51" t="s">
        <v>52</v>
      </c>
      <c r="Q3" s="51" t="s">
        <v>52</v>
      </c>
      <c r="R3" s="51"/>
      <c r="S3" s="51"/>
      <c r="T3" s="51"/>
      <c r="U3" s="51"/>
      <c r="V3" s="51"/>
      <c r="W3" s="51"/>
      <c r="X3" s="51" t="s">
        <v>52</v>
      </c>
      <c r="Y3" s="63">
        <f t="shared" si="0"/>
        <v>12</v>
      </c>
      <c r="Z3" s="64">
        <f t="shared" ref="Z3:Z27" si="1">COUNTIF(B3:X3,"=X")/23</f>
        <v>0.52173913043478259</v>
      </c>
    </row>
    <row r="4" spans="1:26" ht="15.75">
      <c r="A4" s="50" t="s">
        <v>4</v>
      </c>
      <c r="B4" s="51"/>
      <c r="C4" s="51"/>
      <c r="D4" s="51"/>
      <c r="E4" s="51" t="s">
        <v>52</v>
      </c>
      <c r="F4" s="51"/>
      <c r="G4" s="51"/>
      <c r="H4" s="51"/>
      <c r="I4" s="51"/>
      <c r="J4" s="51" t="s">
        <v>52</v>
      </c>
      <c r="K4" s="51"/>
      <c r="L4" s="51" t="s">
        <v>52</v>
      </c>
      <c r="M4" s="51"/>
      <c r="N4" s="51" t="s">
        <v>52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63">
        <f t="shared" si="0"/>
        <v>4</v>
      </c>
      <c r="Z4" s="64">
        <f t="shared" si="1"/>
        <v>0.17391304347826086</v>
      </c>
    </row>
    <row r="5" spans="1:26" ht="15.75">
      <c r="A5" s="50" t="s">
        <v>5</v>
      </c>
      <c r="B5" s="51"/>
      <c r="C5" s="51"/>
      <c r="D5" s="51" t="s">
        <v>52</v>
      </c>
      <c r="E5" s="51"/>
      <c r="F5" s="51"/>
      <c r="G5" s="51"/>
      <c r="H5" s="51"/>
      <c r="I5" s="51"/>
      <c r="J5" s="51" t="s">
        <v>52</v>
      </c>
      <c r="K5" s="51"/>
      <c r="L5" s="51" t="s">
        <v>52</v>
      </c>
      <c r="M5" s="51"/>
      <c r="N5" s="51" t="s">
        <v>52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63">
        <f t="shared" si="0"/>
        <v>4</v>
      </c>
      <c r="Z5" s="64">
        <f t="shared" si="1"/>
        <v>0.17391304347826086</v>
      </c>
    </row>
    <row r="6" spans="1:26" ht="15.75">
      <c r="A6" s="50" t="s">
        <v>6</v>
      </c>
      <c r="B6" s="51"/>
      <c r="C6" s="51"/>
      <c r="D6" s="51" t="s">
        <v>52</v>
      </c>
      <c r="E6" s="51"/>
      <c r="F6" s="51" t="s">
        <v>52</v>
      </c>
      <c r="G6" s="51"/>
      <c r="H6" s="51"/>
      <c r="I6" s="51" t="s">
        <v>52</v>
      </c>
      <c r="J6" s="51" t="s">
        <v>52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63">
        <f t="shared" si="0"/>
        <v>4</v>
      </c>
      <c r="Z6" s="64">
        <f t="shared" si="1"/>
        <v>0.17391304347826086</v>
      </c>
    </row>
    <row r="7" spans="1:26" ht="15.75">
      <c r="A7" s="50" t="s">
        <v>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 t="s">
        <v>52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63">
        <f t="shared" si="0"/>
        <v>1</v>
      </c>
      <c r="Z7" s="64">
        <f t="shared" si="1"/>
        <v>4.3478260869565216E-2</v>
      </c>
    </row>
    <row r="8" spans="1:26" ht="15.75">
      <c r="A8" s="50" t="s">
        <v>8</v>
      </c>
      <c r="B8" s="51"/>
      <c r="C8" s="51"/>
      <c r="D8" s="51"/>
      <c r="E8" s="51"/>
      <c r="F8" s="51"/>
      <c r="G8" s="51"/>
      <c r="H8" s="51"/>
      <c r="I8" s="51"/>
      <c r="J8" s="51" t="s">
        <v>52</v>
      </c>
      <c r="K8" s="51"/>
      <c r="L8" s="51" t="s">
        <v>52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63">
        <f t="shared" si="0"/>
        <v>2</v>
      </c>
      <c r="Z8" s="64">
        <f t="shared" si="1"/>
        <v>8.6956521739130432E-2</v>
      </c>
    </row>
    <row r="9" spans="1:26" ht="15.75">
      <c r="A9" s="50" t="s">
        <v>9</v>
      </c>
      <c r="B9" s="51"/>
      <c r="C9" s="51"/>
      <c r="D9" s="51" t="s">
        <v>52</v>
      </c>
      <c r="E9" s="51"/>
      <c r="F9" s="51"/>
      <c r="G9" s="51"/>
      <c r="H9" s="51"/>
      <c r="I9" s="51"/>
      <c r="J9" s="51" t="s">
        <v>52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63">
        <f t="shared" si="0"/>
        <v>2</v>
      </c>
      <c r="Z9" s="64">
        <f t="shared" si="1"/>
        <v>8.6956521739130432E-2</v>
      </c>
    </row>
    <row r="10" spans="1:26" ht="15.75">
      <c r="A10" s="50" t="s">
        <v>10</v>
      </c>
      <c r="B10" s="51"/>
      <c r="C10" s="51"/>
      <c r="D10" s="51" t="s">
        <v>52</v>
      </c>
      <c r="E10" s="51"/>
      <c r="F10" s="51"/>
      <c r="G10" s="51"/>
      <c r="H10" s="51"/>
      <c r="I10" s="51"/>
      <c r="J10" s="51" t="s">
        <v>52</v>
      </c>
      <c r="K10" s="51"/>
      <c r="L10" s="51" t="s">
        <v>52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63">
        <f t="shared" si="0"/>
        <v>3</v>
      </c>
      <c r="Z10" s="64">
        <f t="shared" si="1"/>
        <v>0.13043478260869565</v>
      </c>
    </row>
    <row r="11" spans="1:26" ht="15.75">
      <c r="A11" s="50" t="s">
        <v>11</v>
      </c>
      <c r="B11" s="51" t="s">
        <v>52</v>
      </c>
      <c r="C11" s="51"/>
      <c r="D11" s="51"/>
      <c r="E11" s="51"/>
      <c r="F11" s="51"/>
      <c r="G11" s="51"/>
      <c r="H11" s="51"/>
      <c r="I11" s="51"/>
      <c r="J11" s="51" t="s">
        <v>52</v>
      </c>
      <c r="K11" s="51"/>
      <c r="L11" s="51" t="s">
        <v>52</v>
      </c>
      <c r="M11" s="51"/>
      <c r="N11" s="51" t="s">
        <v>52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63">
        <f t="shared" si="0"/>
        <v>4</v>
      </c>
      <c r="Z11" s="64">
        <f t="shared" si="1"/>
        <v>0.17391304347826086</v>
      </c>
    </row>
    <row r="12" spans="1:26" ht="15.75">
      <c r="A12" s="50" t="s">
        <v>12</v>
      </c>
      <c r="B12" s="51"/>
      <c r="C12" s="51"/>
      <c r="D12" s="51"/>
      <c r="E12" s="51"/>
      <c r="F12" s="51"/>
      <c r="G12" s="51"/>
      <c r="H12" s="51"/>
      <c r="I12" s="51"/>
      <c r="J12" s="51" t="s">
        <v>52</v>
      </c>
      <c r="K12" s="51"/>
      <c r="L12" s="51" t="s">
        <v>52</v>
      </c>
      <c r="M12" s="51"/>
      <c r="N12" s="51" t="s">
        <v>52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63">
        <f t="shared" si="0"/>
        <v>3</v>
      </c>
      <c r="Z12" s="64">
        <f t="shared" si="1"/>
        <v>0.13043478260869565</v>
      </c>
    </row>
    <row r="13" spans="1:26" ht="15.75">
      <c r="A13" s="50" t="s">
        <v>13</v>
      </c>
      <c r="B13" s="51"/>
      <c r="C13" s="51"/>
      <c r="D13" s="51"/>
      <c r="E13" s="51"/>
      <c r="F13" s="51"/>
      <c r="G13" s="51"/>
      <c r="H13" s="51"/>
      <c r="I13" s="51"/>
      <c r="J13" s="51" t="s">
        <v>52</v>
      </c>
      <c r="K13" s="51"/>
      <c r="L13" s="51" t="s">
        <v>52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63">
        <f t="shared" si="0"/>
        <v>2</v>
      </c>
      <c r="Z13" s="64">
        <f t="shared" si="1"/>
        <v>8.6956521739130432E-2</v>
      </c>
    </row>
    <row r="14" spans="1:26" ht="15.75">
      <c r="A14" s="50" t="s">
        <v>14</v>
      </c>
      <c r="B14" s="51"/>
      <c r="C14" s="51"/>
      <c r="D14" s="51"/>
      <c r="E14" s="51"/>
      <c r="F14" s="51"/>
      <c r="G14" s="51"/>
      <c r="H14" s="51"/>
      <c r="I14" s="51"/>
      <c r="J14" s="51" t="s">
        <v>52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63">
        <f t="shared" si="0"/>
        <v>1</v>
      </c>
      <c r="Z14" s="64">
        <f t="shared" si="1"/>
        <v>4.3478260869565216E-2</v>
      </c>
    </row>
    <row r="15" spans="1:26" ht="15.75">
      <c r="A15" s="50" t="s">
        <v>15</v>
      </c>
      <c r="B15" s="51"/>
      <c r="C15" s="51"/>
      <c r="D15" s="51"/>
      <c r="E15" s="51"/>
      <c r="F15" s="51"/>
      <c r="G15" s="51"/>
      <c r="H15" s="51"/>
      <c r="I15" s="51"/>
      <c r="J15" s="51" t="s">
        <v>52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63">
        <f t="shared" si="0"/>
        <v>1</v>
      </c>
      <c r="Z15" s="64">
        <f t="shared" si="1"/>
        <v>4.3478260869565216E-2</v>
      </c>
    </row>
    <row r="16" spans="1:26" ht="15.75">
      <c r="A16" s="50" t="s">
        <v>16</v>
      </c>
      <c r="B16" s="51"/>
      <c r="C16" s="51"/>
      <c r="D16" s="51"/>
      <c r="E16" s="51"/>
      <c r="F16" s="51"/>
      <c r="G16" s="51"/>
      <c r="H16" s="51"/>
      <c r="I16" s="51"/>
      <c r="J16" s="51" t="s">
        <v>52</v>
      </c>
      <c r="K16" s="51"/>
      <c r="L16" s="51" t="s">
        <v>52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63">
        <f t="shared" si="0"/>
        <v>2</v>
      </c>
      <c r="Z16" s="64">
        <f t="shared" si="1"/>
        <v>8.6956521739130432E-2</v>
      </c>
    </row>
    <row r="17" spans="1:26" ht="15.75">
      <c r="A17" s="50" t="s">
        <v>17</v>
      </c>
      <c r="B17" s="51"/>
      <c r="C17" s="51"/>
      <c r="D17" s="51"/>
      <c r="E17" s="51"/>
      <c r="F17" s="51"/>
      <c r="G17" s="51"/>
      <c r="H17" s="51"/>
      <c r="I17" s="51"/>
      <c r="J17" s="51" t="s">
        <v>52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63">
        <f t="shared" si="0"/>
        <v>1</v>
      </c>
      <c r="Z17" s="64">
        <f t="shared" si="1"/>
        <v>4.3478260869565216E-2</v>
      </c>
    </row>
    <row r="18" spans="1:26" ht="15.75">
      <c r="A18" s="50" t="s">
        <v>18</v>
      </c>
      <c r="B18" s="51"/>
      <c r="C18" s="51"/>
      <c r="D18" s="51"/>
      <c r="E18" s="51"/>
      <c r="F18" s="51"/>
      <c r="G18" s="51" t="s">
        <v>52</v>
      </c>
      <c r="H18" s="51"/>
      <c r="I18" s="51"/>
      <c r="J18" s="51" t="s">
        <v>52</v>
      </c>
      <c r="K18" s="51"/>
      <c r="L18" s="51"/>
      <c r="M18" s="51"/>
      <c r="N18" s="51"/>
      <c r="O18" s="51" t="s">
        <v>52</v>
      </c>
      <c r="P18" s="51"/>
      <c r="Q18" s="51"/>
      <c r="R18" s="51"/>
      <c r="S18" s="51"/>
      <c r="T18" s="51"/>
      <c r="U18" s="51"/>
      <c r="V18" s="51"/>
      <c r="W18" s="51"/>
      <c r="X18" s="51"/>
      <c r="Y18" s="63">
        <f t="shared" si="0"/>
        <v>3</v>
      </c>
      <c r="Z18" s="64">
        <f t="shared" si="1"/>
        <v>0.13043478260869565</v>
      </c>
    </row>
    <row r="19" spans="1:26" ht="15.75">
      <c r="A19" s="50" t="s">
        <v>19</v>
      </c>
      <c r="B19" s="51"/>
      <c r="C19" s="51"/>
      <c r="D19" s="51"/>
      <c r="E19" s="51"/>
      <c r="F19" s="51"/>
      <c r="G19" s="51"/>
      <c r="H19" s="51"/>
      <c r="I19" s="51"/>
      <c r="J19" s="51" t="s">
        <v>52</v>
      </c>
      <c r="K19" s="51"/>
      <c r="L19" s="51" t="s">
        <v>52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63">
        <f t="shared" si="0"/>
        <v>2</v>
      </c>
      <c r="Z19" s="64">
        <f t="shared" si="1"/>
        <v>8.6956521739130432E-2</v>
      </c>
    </row>
    <row r="20" spans="1:26" ht="15.75">
      <c r="A20" s="52" t="s">
        <v>20</v>
      </c>
      <c r="B20" s="53"/>
      <c r="C20" s="53"/>
      <c r="D20" s="53"/>
      <c r="E20" s="53"/>
      <c r="F20" s="53"/>
      <c r="G20" s="53"/>
      <c r="H20" s="53"/>
      <c r="I20" s="53"/>
      <c r="J20" s="53" t="s">
        <v>52</v>
      </c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63">
        <f t="shared" si="0"/>
        <v>1</v>
      </c>
      <c r="Z20" s="64">
        <f t="shared" si="1"/>
        <v>4.3478260869565216E-2</v>
      </c>
    </row>
    <row r="21" spans="1:26" ht="15.75">
      <c r="A21" s="52" t="s">
        <v>21</v>
      </c>
      <c r="B21" s="53"/>
      <c r="C21" s="53"/>
      <c r="D21" s="53"/>
      <c r="E21" s="53" t="s">
        <v>52</v>
      </c>
      <c r="F21" s="53"/>
      <c r="G21" s="53"/>
      <c r="H21" s="53" t="s">
        <v>52</v>
      </c>
      <c r="I21" s="53"/>
      <c r="J21" s="53" t="s">
        <v>52</v>
      </c>
      <c r="K21" s="53"/>
      <c r="L21" s="53" t="s">
        <v>52</v>
      </c>
      <c r="M21" s="53"/>
      <c r="N21" s="53"/>
      <c r="O21" s="53"/>
      <c r="P21" s="53"/>
      <c r="Q21" s="53"/>
      <c r="R21" s="53"/>
      <c r="S21" s="53" t="s">
        <v>52</v>
      </c>
      <c r="T21" s="53"/>
      <c r="U21" s="53"/>
      <c r="V21" s="53"/>
      <c r="W21" s="53"/>
      <c r="X21" s="53"/>
      <c r="Y21" s="63">
        <f t="shared" si="0"/>
        <v>5</v>
      </c>
      <c r="Z21" s="64">
        <f t="shared" si="1"/>
        <v>0.21739130434782608</v>
      </c>
    </row>
    <row r="22" spans="1:26" ht="15.75">
      <c r="A22" s="52" t="s">
        <v>22</v>
      </c>
      <c r="B22" s="53"/>
      <c r="C22" s="53"/>
      <c r="D22" s="53"/>
      <c r="E22" s="53"/>
      <c r="F22" s="53"/>
      <c r="G22" s="53"/>
      <c r="H22" s="53"/>
      <c r="I22" s="53"/>
      <c r="J22" s="53" t="s">
        <v>52</v>
      </c>
      <c r="K22" s="53"/>
      <c r="L22" s="53" t="s">
        <v>52</v>
      </c>
      <c r="M22" s="53"/>
      <c r="N22" s="53" t="s">
        <v>52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63">
        <f t="shared" si="0"/>
        <v>3</v>
      </c>
      <c r="Z22" s="64">
        <f t="shared" si="1"/>
        <v>0.13043478260869565</v>
      </c>
    </row>
    <row r="23" spans="1:26" ht="15.75">
      <c r="A23" s="52" t="s">
        <v>23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 t="s">
        <v>52</v>
      </c>
      <c r="M23" s="53"/>
      <c r="N23" s="53" t="s">
        <v>52</v>
      </c>
      <c r="O23" s="53"/>
      <c r="P23" s="53"/>
      <c r="Q23" s="53"/>
      <c r="R23" s="53"/>
      <c r="S23" s="53"/>
      <c r="T23" s="53" t="s">
        <v>52</v>
      </c>
      <c r="U23" s="53"/>
      <c r="V23" s="53"/>
      <c r="W23" s="53"/>
      <c r="X23" s="53"/>
      <c r="Y23" s="63">
        <f t="shared" si="0"/>
        <v>3</v>
      </c>
      <c r="Z23" s="64">
        <f t="shared" si="1"/>
        <v>0.13043478260869565</v>
      </c>
    </row>
    <row r="24" spans="1:26" ht="15.75">
      <c r="A24" s="52" t="s">
        <v>24</v>
      </c>
      <c r="B24" s="53"/>
      <c r="C24" s="53"/>
      <c r="D24" s="53"/>
      <c r="E24" s="53"/>
      <c r="F24" s="53"/>
      <c r="G24" s="53" t="s">
        <v>52</v>
      </c>
      <c r="H24" s="53"/>
      <c r="I24" s="53"/>
      <c r="J24" s="53" t="s">
        <v>52</v>
      </c>
      <c r="K24" s="53"/>
      <c r="L24" s="53" t="s">
        <v>52</v>
      </c>
      <c r="M24" s="53"/>
      <c r="N24" s="53"/>
      <c r="O24" s="53"/>
      <c r="P24" s="53"/>
      <c r="Q24" s="53"/>
      <c r="R24" s="53"/>
      <c r="S24" s="53"/>
      <c r="T24" s="53"/>
      <c r="U24" s="53" t="s">
        <v>52</v>
      </c>
      <c r="V24" s="53"/>
      <c r="W24" s="53"/>
      <c r="X24" s="53"/>
      <c r="Y24" s="63">
        <f t="shared" si="0"/>
        <v>4</v>
      </c>
      <c r="Z24" s="64">
        <f t="shared" si="1"/>
        <v>0.17391304347826086</v>
      </c>
    </row>
    <row r="25" spans="1:26" ht="15.75">
      <c r="A25" s="52" t="s">
        <v>25</v>
      </c>
      <c r="B25" s="53"/>
      <c r="C25" s="53"/>
      <c r="D25" s="53"/>
      <c r="E25" s="53"/>
      <c r="F25" s="53"/>
      <c r="G25" s="53"/>
      <c r="H25" s="53"/>
      <c r="I25" s="53"/>
      <c r="J25" s="53" t="s">
        <v>52</v>
      </c>
      <c r="K25" s="53"/>
      <c r="L25" s="53"/>
      <c r="M25" s="53"/>
      <c r="N25" s="53" t="s">
        <v>52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63">
        <f t="shared" si="0"/>
        <v>2</v>
      </c>
      <c r="Z25" s="64">
        <f t="shared" si="1"/>
        <v>8.6956521739130432E-2</v>
      </c>
    </row>
    <row r="26" spans="1:26" ht="15.75">
      <c r="A26" s="52" t="s">
        <v>26</v>
      </c>
      <c r="B26" s="53" t="s">
        <v>52</v>
      </c>
      <c r="C26" s="53"/>
      <c r="D26" s="53"/>
      <c r="E26" s="53"/>
      <c r="F26" s="53"/>
      <c r="G26" s="53"/>
      <c r="H26" s="53"/>
      <c r="I26" s="53"/>
      <c r="J26" s="53" t="s">
        <v>52</v>
      </c>
      <c r="K26" s="53"/>
      <c r="L26" s="53"/>
      <c r="M26" s="53"/>
      <c r="N26" s="53" t="s">
        <v>52</v>
      </c>
      <c r="O26" s="53"/>
      <c r="P26" s="53"/>
      <c r="Q26" s="53"/>
      <c r="R26" s="53" t="s">
        <v>52</v>
      </c>
      <c r="S26" s="53"/>
      <c r="T26" s="53"/>
      <c r="U26" s="53"/>
      <c r="V26" s="53" t="s">
        <v>52</v>
      </c>
      <c r="W26" s="53" t="s">
        <v>52</v>
      </c>
      <c r="X26" s="53"/>
      <c r="Y26" s="63">
        <f t="shared" si="0"/>
        <v>6</v>
      </c>
      <c r="Z26" s="64">
        <f t="shared" si="1"/>
        <v>0.2608695652173913</v>
      </c>
    </row>
    <row r="27" spans="1:26" ht="15.75">
      <c r="A27" s="52" t="s">
        <v>27</v>
      </c>
      <c r="B27" s="53" t="s">
        <v>52</v>
      </c>
      <c r="C27" s="53"/>
      <c r="D27" s="53"/>
      <c r="E27" s="53"/>
      <c r="F27" s="53" t="s">
        <v>52</v>
      </c>
      <c r="G27" s="53"/>
      <c r="H27" s="53"/>
      <c r="I27" s="53"/>
      <c r="J27" s="53" t="s">
        <v>52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63">
        <f t="shared" si="0"/>
        <v>3</v>
      </c>
      <c r="Z27" s="64">
        <f t="shared" si="1"/>
        <v>0.13043478260869565</v>
      </c>
    </row>
    <row r="28" spans="1:26" ht="15.75">
      <c r="A28" s="24"/>
      <c r="B28" s="65">
        <f t="shared" ref="B28:X28" si="2">COUNTIF(B2:B27,"=X")</f>
        <v>4</v>
      </c>
      <c r="C28" s="65">
        <f t="shared" si="2"/>
        <v>1</v>
      </c>
      <c r="D28" s="65">
        <f t="shared" si="2"/>
        <v>5</v>
      </c>
      <c r="E28" s="65">
        <f t="shared" si="2"/>
        <v>3</v>
      </c>
      <c r="F28" s="65">
        <f t="shared" si="2"/>
        <v>2</v>
      </c>
      <c r="G28" s="65">
        <f t="shared" si="2"/>
        <v>2</v>
      </c>
      <c r="H28" s="65">
        <f t="shared" si="2"/>
        <v>3</v>
      </c>
      <c r="I28" s="65">
        <f t="shared" si="2"/>
        <v>2</v>
      </c>
      <c r="J28" s="65">
        <f t="shared" si="2"/>
        <v>24</v>
      </c>
      <c r="K28" s="65">
        <f t="shared" si="2"/>
        <v>1</v>
      </c>
      <c r="L28" s="65">
        <f t="shared" si="2"/>
        <v>15</v>
      </c>
      <c r="M28" s="65">
        <f t="shared" si="2"/>
        <v>1</v>
      </c>
      <c r="N28" s="65">
        <f t="shared" si="2"/>
        <v>10</v>
      </c>
      <c r="O28" s="65">
        <f t="shared" si="2"/>
        <v>1</v>
      </c>
      <c r="P28" s="65">
        <f t="shared" si="2"/>
        <v>1</v>
      </c>
      <c r="Q28" s="65">
        <f t="shared" si="2"/>
        <v>1</v>
      </c>
      <c r="R28" s="65">
        <f t="shared" si="2"/>
        <v>1</v>
      </c>
      <c r="S28" s="65">
        <f t="shared" si="2"/>
        <v>1</v>
      </c>
      <c r="T28" s="65">
        <f t="shared" si="2"/>
        <v>1</v>
      </c>
      <c r="U28" s="65">
        <f t="shared" si="2"/>
        <v>1</v>
      </c>
      <c r="V28" s="65">
        <f t="shared" si="2"/>
        <v>1</v>
      </c>
      <c r="W28" s="65">
        <f t="shared" si="2"/>
        <v>1</v>
      </c>
      <c r="X28" s="65">
        <f t="shared" si="2"/>
        <v>1</v>
      </c>
    </row>
    <row r="29" spans="1:26" ht="15.75">
      <c r="A29" s="24"/>
      <c r="B29" s="62">
        <f>COUNTIF(B2:B27,"=X")/26</f>
        <v>0.15384615384615385</v>
      </c>
      <c r="C29" s="62">
        <f t="shared" ref="C29:X29" si="3">COUNTIF(C2:C27,"=X")/26</f>
        <v>3.8461538461538464E-2</v>
      </c>
      <c r="D29" s="62">
        <f t="shared" si="3"/>
        <v>0.19230769230769232</v>
      </c>
      <c r="E29" s="62">
        <f t="shared" si="3"/>
        <v>0.11538461538461539</v>
      </c>
      <c r="F29" s="62">
        <f t="shared" si="3"/>
        <v>7.6923076923076927E-2</v>
      </c>
      <c r="G29" s="62">
        <f t="shared" si="3"/>
        <v>7.6923076923076927E-2</v>
      </c>
      <c r="H29" s="62">
        <f t="shared" si="3"/>
        <v>0.11538461538461539</v>
      </c>
      <c r="I29" s="62">
        <f t="shared" si="3"/>
        <v>7.6923076923076927E-2</v>
      </c>
      <c r="J29" s="62">
        <f t="shared" si="3"/>
        <v>0.92307692307692313</v>
      </c>
      <c r="K29" s="62">
        <f t="shared" si="3"/>
        <v>3.8461538461538464E-2</v>
      </c>
      <c r="L29" s="62">
        <f t="shared" si="3"/>
        <v>0.57692307692307687</v>
      </c>
      <c r="M29" s="62">
        <f t="shared" si="3"/>
        <v>3.8461538461538464E-2</v>
      </c>
      <c r="N29" s="62">
        <f t="shared" si="3"/>
        <v>0.38461538461538464</v>
      </c>
      <c r="O29" s="62">
        <f t="shared" si="3"/>
        <v>3.8461538461538464E-2</v>
      </c>
      <c r="P29" s="62">
        <f t="shared" si="3"/>
        <v>3.8461538461538464E-2</v>
      </c>
      <c r="Q29" s="62">
        <f t="shared" si="3"/>
        <v>3.8461538461538464E-2</v>
      </c>
      <c r="R29" s="62">
        <f t="shared" si="3"/>
        <v>3.8461538461538464E-2</v>
      </c>
      <c r="S29" s="62">
        <f t="shared" si="3"/>
        <v>3.8461538461538464E-2</v>
      </c>
      <c r="T29" s="62">
        <f t="shared" si="3"/>
        <v>3.8461538461538464E-2</v>
      </c>
      <c r="U29" s="62">
        <f t="shared" si="3"/>
        <v>3.8461538461538464E-2</v>
      </c>
      <c r="V29" s="62">
        <f t="shared" si="3"/>
        <v>3.8461538461538464E-2</v>
      </c>
      <c r="W29" s="62">
        <f t="shared" si="3"/>
        <v>3.8461538461538464E-2</v>
      </c>
      <c r="X29" s="62">
        <f t="shared" si="3"/>
        <v>3.8461538461538464E-2</v>
      </c>
    </row>
    <row r="30" spans="1:26" s="55" customFormat="1" ht="15.7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</row>
    <row r="31" spans="1:26" s="55" customFormat="1" ht="15.7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  <row r="33" spans="1:23" ht="15.75">
      <c r="A33" s="56" t="s">
        <v>28</v>
      </c>
      <c r="B33" s="56" t="s">
        <v>53</v>
      </c>
      <c r="C33" s="56" t="s">
        <v>54</v>
      </c>
      <c r="D33" s="56" t="s">
        <v>55</v>
      </c>
      <c r="E33" s="56" t="s">
        <v>56</v>
      </c>
      <c r="F33" s="56" t="s">
        <v>57</v>
      </c>
      <c r="G33" s="56" t="s">
        <v>58</v>
      </c>
      <c r="H33" s="56" t="s">
        <v>59</v>
      </c>
      <c r="I33" s="56" t="s">
        <v>46</v>
      </c>
      <c r="J33" s="56" t="s">
        <v>60</v>
      </c>
      <c r="K33" s="56" t="s">
        <v>41</v>
      </c>
      <c r="L33" s="56" t="s">
        <v>61</v>
      </c>
      <c r="M33" s="56" t="s">
        <v>62</v>
      </c>
    </row>
    <row r="34" spans="1:23" ht="15.75">
      <c r="A34" s="50" t="s">
        <v>2</v>
      </c>
      <c r="B34" s="57" t="str">
        <f t="shared" ref="B34:B59" si="4">IF(COUNTA(M2)&gt;0,"X","")</f>
        <v/>
      </c>
      <c r="C34" s="57" t="str">
        <f t="shared" ref="C34:C59" si="5">IF(COUNTA(C2,E2,G2,R2,S2,V2)&gt;0,"X","")</f>
        <v/>
      </c>
      <c r="D34" s="57" t="str">
        <f>IF(COUNTA(K2,T2)&gt;0,"X","")</f>
        <v>X</v>
      </c>
      <c r="E34" s="57" t="str">
        <f t="shared" ref="E34:E59" si="6">IF(COUNTA(O2,W2)&gt;0,"X","")</f>
        <v/>
      </c>
      <c r="F34" s="57" t="str">
        <f t="shared" ref="F34:F59" si="7">IF(COUNTA(G2)&gt;0,"X","")</f>
        <v/>
      </c>
      <c r="G34" s="58"/>
      <c r="H34" s="57" t="str">
        <f t="shared" ref="H34:H59" si="8">IF(COUNTA(H2,I2)&gt;0,"X","")</f>
        <v>X</v>
      </c>
      <c r="I34" s="57" t="str">
        <f t="shared" ref="I34:I59" si="9">IF(COUNTA(E2,S2)&gt;0,"X","")</f>
        <v/>
      </c>
      <c r="J34" s="57" t="str">
        <f t="shared" ref="J34:J59" si="10">IF(COUNTA(C2,V2,X2)&gt;0,"X","")</f>
        <v/>
      </c>
      <c r="K34" s="57" t="str">
        <f t="shared" ref="K34:K59" si="11">IF(COUNTA(N2,L2,J2)&gt;0,"X","")</f>
        <v>X</v>
      </c>
      <c r="L34" s="58"/>
      <c r="M34" s="57" t="str">
        <f t="shared" ref="M34:M59" si="12">IF(COUNTA(P2)&gt;0,"X","")</f>
        <v/>
      </c>
      <c r="N34" s="63">
        <f>COUNTIF(B34:M34,"=X")</f>
        <v>3</v>
      </c>
      <c r="O34" s="64">
        <f>COUNTIF(B34:M34,"=X")/12</f>
        <v>0.25</v>
      </c>
      <c r="Q34" s="70" t="s">
        <v>63</v>
      </c>
      <c r="R34" s="71"/>
      <c r="S34" s="72"/>
    </row>
    <row r="35" spans="1:23" ht="15.75" customHeight="1">
      <c r="A35" s="50" t="s">
        <v>3</v>
      </c>
      <c r="B35" s="57" t="str">
        <f t="shared" si="4"/>
        <v>X</v>
      </c>
      <c r="C35" s="57" t="str">
        <f t="shared" si="5"/>
        <v>X</v>
      </c>
      <c r="D35" s="57" t="str">
        <f>IF(COUNTA(D3,F3,H3,S3,T3,W3)&gt;0,"X","")</f>
        <v>X</v>
      </c>
      <c r="E35" s="57" t="str">
        <f t="shared" si="6"/>
        <v/>
      </c>
      <c r="F35" s="57" t="str">
        <f t="shared" si="7"/>
        <v/>
      </c>
      <c r="G35" s="58"/>
      <c r="H35" s="57" t="str">
        <f t="shared" si="8"/>
        <v>X</v>
      </c>
      <c r="I35" s="57" t="str">
        <f t="shared" si="9"/>
        <v>X</v>
      </c>
      <c r="J35" s="57" t="str">
        <f t="shared" si="10"/>
        <v>X</v>
      </c>
      <c r="K35" s="57" t="str">
        <f t="shared" si="11"/>
        <v>X</v>
      </c>
      <c r="L35" s="58"/>
      <c r="M35" s="57" t="str">
        <f t="shared" si="12"/>
        <v>X</v>
      </c>
      <c r="N35" s="63">
        <f t="shared" ref="N35:N59" si="13">COUNTIF(B35:M35,"=X")</f>
        <v>8</v>
      </c>
      <c r="O35" s="64">
        <f t="shared" ref="O35:O59" si="14">COUNTIF(B35:M35,"=X")/12</f>
        <v>0.66666666666666663</v>
      </c>
      <c r="Q35" s="73" t="s">
        <v>64</v>
      </c>
      <c r="R35" s="74"/>
      <c r="S35" s="75"/>
    </row>
    <row r="36" spans="1:23" ht="15.75">
      <c r="A36" s="50" t="s">
        <v>4</v>
      </c>
      <c r="B36" s="57" t="str">
        <f t="shared" si="4"/>
        <v/>
      </c>
      <c r="C36" s="57" t="str">
        <f t="shared" si="5"/>
        <v>X</v>
      </c>
      <c r="D36" s="57" t="str">
        <f t="shared" ref="D36:D59" si="15">IF(COUNTA(K4,T4)&gt;0,"X","")</f>
        <v/>
      </c>
      <c r="E36" s="57" t="str">
        <f t="shared" si="6"/>
        <v/>
      </c>
      <c r="F36" s="57" t="str">
        <f t="shared" si="7"/>
        <v/>
      </c>
      <c r="G36" s="58"/>
      <c r="H36" s="57" t="str">
        <f t="shared" si="8"/>
        <v/>
      </c>
      <c r="I36" s="57" t="str">
        <f t="shared" si="9"/>
        <v>X</v>
      </c>
      <c r="J36" s="57" t="str">
        <f t="shared" si="10"/>
        <v/>
      </c>
      <c r="K36" s="57" t="str">
        <f t="shared" si="11"/>
        <v>X</v>
      </c>
      <c r="L36" s="58"/>
      <c r="M36" s="57" t="str">
        <f t="shared" si="12"/>
        <v/>
      </c>
      <c r="N36" s="63">
        <f t="shared" si="13"/>
        <v>3</v>
      </c>
      <c r="O36" s="64">
        <f t="shared" si="14"/>
        <v>0.25</v>
      </c>
      <c r="Q36" s="59"/>
      <c r="R36" s="59"/>
      <c r="S36" s="59"/>
    </row>
    <row r="37" spans="1:23" ht="15.75">
      <c r="A37" s="50" t="s">
        <v>5</v>
      </c>
      <c r="B37" s="57" t="str">
        <f t="shared" si="4"/>
        <v/>
      </c>
      <c r="C37" s="57" t="str">
        <f t="shared" si="5"/>
        <v/>
      </c>
      <c r="D37" s="57" t="str">
        <f t="shared" si="15"/>
        <v/>
      </c>
      <c r="E37" s="57" t="str">
        <f t="shared" si="6"/>
        <v/>
      </c>
      <c r="F37" s="57" t="str">
        <f t="shared" si="7"/>
        <v/>
      </c>
      <c r="G37" s="58"/>
      <c r="H37" s="57" t="str">
        <f t="shared" si="8"/>
        <v/>
      </c>
      <c r="I37" s="57" t="str">
        <f t="shared" si="9"/>
        <v/>
      </c>
      <c r="J37" s="57" t="str">
        <f t="shared" si="10"/>
        <v/>
      </c>
      <c r="K37" s="57" t="str">
        <f t="shared" si="11"/>
        <v>X</v>
      </c>
      <c r="L37" s="58"/>
      <c r="M37" s="57" t="str">
        <f t="shared" si="12"/>
        <v/>
      </c>
      <c r="N37" s="63">
        <f t="shared" si="13"/>
        <v>1</v>
      </c>
      <c r="O37" s="64">
        <f t="shared" si="14"/>
        <v>8.3333333333333329E-2</v>
      </c>
      <c r="Q37" s="60" t="str" cm="1">
        <f t="array" ref="Q37:Q48">TRANSPOSE(B33:M33)</f>
        <v>Area</v>
      </c>
      <c r="R37" s="58" t="s">
        <v>40</v>
      </c>
      <c r="S37" s="58"/>
      <c r="T37" s="58"/>
      <c r="U37" s="58"/>
      <c r="V37" s="58"/>
      <c r="W37" s="58"/>
    </row>
    <row r="38" spans="1:23" ht="15.75">
      <c r="A38" s="50" t="s">
        <v>6</v>
      </c>
      <c r="B38" s="57" t="str">
        <f t="shared" si="4"/>
        <v/>
      </c>
      <c r="C38" s="57" t="str">
        <f t="shared" si="5"/>
        <v/>
      </c>
      <c r="D38" s="57" t="str">
        <f t="shared" si="15"/>
        <v/>
      </c>
      <c r="E38" s="57" t="str">
        <f t="shared" si="6"/>
        <v/>
      </c>
      <c r="F38" s="57" t="str">
        <f t="shared" si="7"/>
        <v/>
      </c>
      <c r="G38" s="58"/>
      <c r="H38" s="57" t="str">
        <f t="shared" si="8"/>
        <v>X</v>
      </c>
      <c r="I38" s="57" t="str">
        <f t="shared" si="9"/>
        <v/>
      </c>
      <c r="J38" s="57" t="str">
        <f t="shared" si="10"/>
        <v/>
      </c>
      <c r="K38" s="57" t="str">
        <f t="shared" si="11"/>
        <v>X</v>
      </c>
      <c r="L38" s="58"/>
      <c r="M38" s="57" t="str">
        <f t="shared" si="12"/>
        <v/>
      </c>
      <c r="N38" s="63">
        <f t="shared" si="13"/>
        <v>2</v>
      </c>
      <c r="O38" s="64">
        <f t="shared" si="14"/>
        <v>0.16666666666666666</v>
      </c>
      <c r="Q38" s="60" t="str">
        <v>Bar</v>
      </c>
      <c r="R38" s="58" t="s">
        <v>29</v>
      </c>
      <c r="S38" s="58" t="s">
        <v>31</v>
      </c>
      <c r="T38" s="58" t="s">
        <v>33</v>
      </c>
      <c r="U38" s="58" t="s">
        <v>44</v>
      </c>
      <c r="V38" s="58" t="s">
        <v>65</v>
      </c>
      <c r="W38" s="58" t="s">
        <v>48</v>
      </c>
    </row>
    <row r="39" spans="1:23" ht="15.75">
      <c r="A39" s="50" t="s">
        <v>7</v>
      </c>
      <c r="B39" s="57" t="str">
        <f t="shared" si="4"/>
        <v/>
      </c>
      <c r="C39" s="57" t="str">
        <f t="shared" si="5"/>
        <v/>
      </c>
      <c r="D39" s="57" t="str">
        <f t="shared" si="15"/>
        <v/>
      </c>
      <c r="E39" s="57" t="str">
        <f t="shared" si="6"/>
        <v/>
      </c>
      <c r="F39" s="57" t="str">
        <f t="shared" si="7"/>
        <v/>
      </c>
      <c r="G39" s="58"/>
      <c r="H39" s="57" t="str">
        <f t="shared" si="8"/>
        <v/>
      </c>
      <c r="I39" s="57" t="str">
        <f t="shared" si="9"/>
        <v/>
      </c>
      <c r="J39" s="57" t="str">
        <f t="shared" si="10"/>
        <v/>
      </c>
      <c r="K39" s="57" t="str">
        <f t="shared" si="11"/>
        <v>X</v>
      </c>
      <c r="L39" s="58"/>
      <c r="M39" s="57" t="str">
        <f t="shared" si="12"/>
        <v/>
      </c>
      <c r="N39" s="63">
        <f t="shared" si="13"/>
        <v>1</v>
      </c>
      <c r="O39" s="64">
        <f t="shared" si="14"/>
        <v>8.3333333333333329E-2</v>
      </c>
      <c r="Q39" s="60" t="str">
        <v>Circle</v>
      </c>
      <c r="R39" s="58" t="s">
        <v>38</v>
      </c>
      <c r="S39" s="58" t="s">
        <v>47</v>
      </c>
      <c r="T39" s="58"/>
      <c r="U39" s="58"/>
      <c r="V39" s="58"/>
      <c r="W39" s="58"/>
    </row>
    <row r="40" spans="1:23" ht="15.75">
      <c r="A40" s="50" t="s">
        <v>8</v>
      </c>
      <c r="B40" s="57" t="str">
        <f t="shared" si="4"/>
        <v/>
      </c>
      <c r="C40" s="57" t="str">
        <f t="shared" si="5"/>
        <v/>
      </c>
      <c r="D40" s="57" t="str">
        <f t="shared" si="15"/>
        <v/>
      </c>
      <c r="E40" s="57" t="str">
        <f t="shared" si="6"/>
        <v/>
      </c>
      <c r="F40" s="57" t="str">
        <f t="shared" si="7"/>
        <v/>
      </c>
      <c r="G40" s="58"/>
      <c r="H40" s="57" t="str">
        <f t="shared" si="8"/>
        <v/>
      </c>
      <c r="I40" s="57" t="str">
        <f t="shared" si="9"/>
        <v/>
      </c>
      <c r="J40" s="57" t="str">
        <f t="shared" si="10"/>
        <v/>
      </c>
      <c r="K40" s="57" t="str">
        <f t="shared" si="11"/>
        <v>X</v>
      </c>
      <c r="L40" s="58"/>
      <c r="M40" s="57" t="str">
        <f t="shared" si="12"/>
        <v/>
      </c>
      <c r="N40" s="63">
        <f t="shared" si="13"/>
        <v>1</v>
      </c>
      <c r="O40" s="64">
        <f t="shared" si="14"/>
        <v>8.3333333333333329E-2</v>
      </c>
      <c r="Q40" s="60" t="str">
        <v>Diagram</v>
      </c>
      <c r="R40" s="58" t="s">
        <v>42</v>
      </c>
      <c r="S40" s="58" t="s">
        <v>50</v>
      </c>
      <c r="T40" s="58"/>
      <c r="U40" s="58"/>
      <c r="V40" s="58"/>
      <c r="W40" s="58"/>
    </row>
    <row r="41" spans="1:23" ht="15.75">
      <c r="A41" s="50" t="s">
        <v>9</v>
      </c>
      <c r="B41" s="57" t="str">
        <f t="shared" si="4"/>
        <v/>
      </c>
      <c r="C41" s="57" t="str">
        <f t="shared" si="5"/>
        <v/>
      </c>
      <c r="D41" s="57" t="str">
        <f t="shared" si="15"/>
        <v/>
      </c>
      <c r="E41" s="57" t="str">
        <f t="shared" si="6"/>
        <v/>
      </c>
      <c r="F41" s="57" t="str">
        <f t="shared" si="7"/>
        <v/>
      </c>
      <c r="G41" s="58"/>
      <c r="H41" s="57" t="str">
        <f t="shared" si="8"/>
        <v/>
      </c>
      <c r="I41" s="57" t="str">
        <f t="shared" si="9"/>
        <v/>
      </c>
      <c r="J41" s="57" t="str">
        <f t="shared" si="10"/>
        <v/>
      </c>
      <c r="K41" s="57" t="str">
        <f t="shared" si="11"/>
        <v>X</v>
      </c>
      <c r="L41" s="58"/>
      <c r="M41" s="57" t="str">
        <f t="shared" si="12"/>
        <v/>
      </c>
      <c r="N41" s="63">
        <f t="shared" si="13"/>
        <v>1</v>
      </c>
      <c r="O41" s="64">
        <f t="shared" si="14"/>
        <v>8.3333333333333329E-2</v>
      </c>
      <c r="Q41" s="60" t="str">
        <v>Distribution</v>
      </c>
      <c r="R41" s="58" t="s">
        <v>34</v>
      </c>
      <c r="S41" s="58"/>
      <c r="T41" s="58"/>
      <c r="U41" s="58"/>
      <c r="V41" s="58"/>
      <c r="W41" s="58"/>
    </row>
    <row r="42" spans="1:23" ht="15.75">
      <c r="A42" s="50" t="s">
        <v>10</v>
      </c>
      <c r="B42" s="57" t="str">
        <f t="shared" si="4"/>
        <v/>
      </c>
      <c r="C42" s="57" t="str">
        <f t="shared" si="5"/>
        <v/>
      </c>
      <c r="D42" s="57" t="str">
        <f t="shared" si="15"/>
        <v/>
      </c>
      <c r="E42" s="57" t="str">
        <f t="shared" si="6"/>
        <v/>
      </c>
      <c r="F42" s="57" t="str">
        <f t="shared" si="7"/>
        <v/>
      </c>
      <c r="G42" s="58"/>
      <c r="H42" s="57" t="str">
        <f t="shared" si="8"/>
        <v/>
      </c>
      <c r="I42" s="57" t="str">
        <f t="shared" si="9"/>
        <v/>
      </c>
      <c r="J42" s="57" t="str">
        <f t="shared" si="10"/>
        <v/>
      </c>
      <c r="K42" s="57" t="str">
        <f t="shared" si="11"/>
        <v>X</v>
      </c>
      <c r="L42" s="58"/>
      <c r="M42" s="57" t="str">
        <f t="shared" si="12"/>
        <v/>
      </c>
      <c r="N42" s="63">
        <f t="shared" si="13"/>
        <v>1</v>
      </c>
      <c r="O42" s="64">
        <f t="shared" si="14"/>
        <v>8.3333333333333329E-2</v>
      </c>
      <c r="Q42" s="60" t="str">
        <v>Grid &amp; Matrix</v>
      </c>
      <c r="R42" s="58"/>
      <c r="S42" s="58"/>
      <c r="T42" s="58"/>
      <c r="U42" s="58"/>
      <c r="V42" s="58"/>
      <c r="W42" s="58"/>
    </row>
    <row r="43" spans="1:23" ht="15.75">
      <c r="A43" s="50" t="s">
        <v>11</v>
      </c>
      <c r="B43" s="57" t="str">
        <f t="shared" si="4"/>
        <v/>
      </c>
      <c r="C43" s="57" t="str">
        <f t="shared" si="5"/>
        <v/>
      </c>
      <c r="D43" s="57" t="str">
        <f t="shared" si="15"/>
        <v/>
      </c>
      <c r="E43" s="57" t="str">
        <f t="shared" si="6"/>
        <v/>
      </c>
      <c r="F43" s="57" t="str">
        <f t="shared" si="7"/>
        <v/>
      </c>
      <c r="G43" s="58"/>
      <c r="H43" s="57" t="str">
        <f t="shared" si="8"/>
        <v/>
      </c>
      <c r="I43" s="57" t="str">
        <f t="shared" si="9"/>
        <v/>
      </c>
      <c r="J43" s="57" t="str">
        <f t="shared" si="10"/>
        <v/>
      </c>
      <c r="K43" s="57" t="str">
        <f t="shared" si="11"/>
        <v>X</v>
      </c>
      <c r="L43" s="58"/>
      <c r="M43" s="57" t="str">
        <f t="shared" si="12"/>
        <v/>
      </c>
      <c r="N43" s="63">
        <f t="shared" si="13"/>
        <v>1</v>
      </c>
      <c r="O43" s="64">
        <f t="shared" si="14"/>
        <v>8.3333333333333329E-2</v>
      </c>
      <c r="Q43" s="60" t="str">
        <v>Line</v>
      </c>
      <c r="R43" s="58" t="s">
        <v>35</v>
      </c>
      <c r="S43" s="58" t="s">
        <v>36</v>
      </c>
      <c r="T43" s="58"/>
      <c r="U43" s="58"/>
      <c r="V43" s="58"/>
      <c r="W43" s="58"/>
    </row>
    <row r="44" spans="1:23" ht="15.75">
      <c r="A44" s="50" t="s">
        <v>12</v>
      </c>
      <c r="B44" s="57" t="str">
        <f t="shared" si="4"/>
        <v/>
      </c>
      <c r="C44" s="57" t="str">
        <f t="shared" si="5"/>
        <v/>
      </c>
      <c r="D44" s="57" t="str">
        <f t="shared" si="15"/>
        <v/>
      </c>
      <c r="E44" s="57" t="str">
        <f t="shared" si="6"/>
        <v/>
      </c>
      <c r="F44" s="57" t="str">
        <f t="shared" si="7"/>
        <v/>
      </c>
      <c r="G44" s="58"/>
      <c r="H44" s="57" t="str">
        <f t="shared" si="8"/>
        <v/>
      </c>
      <c r="I44" s="57" t="str">
        <f t="shared" si="9"/>
        <v/>
      </c>
      <c r="J44" s="57" t="str">
        <f t="shared" si="10"/>
        <v/>
      </c>
      <c r="K44" s="57" t="str">
        <f t="shared" si="11"/>
        <v>X</v>
      </c>
      <c r="L44" s="58"/>
      <c r="M44" s="57" t="str">
        <f t="shared" si="12"/>
        <v/>
      </c>
      <c r="N44" s="63">
        <f t="shared" si="13"/>
        <v>1</v>
      </c>
      <c r="O44" s="64">
        <f t="shared" si="14"/>
        <v>8.3333333333333329E-2</v>
      </c>
      <c r="Q44" s="60" t="str">
        <v>Map</v>
      </c>
      <c r="R44" s="58" t="s">
        <v>46</v>
      </c>
      <c r="S44" s="58" t="s">
        <v>32</v>
      </c>
      <c r="T44" s="58"/>
      <c r="U44" s="58"/>
      <c r="V44" s="58"/>
      <c r="W44" s="58"/>
    </row>
    <row r="45" spans="1:23" ht="15.75">
      <c r="A45" s="50" t="s">
        <v>13</v>
      </c>
      <c r="B45" s="57" t="str">
        <f t="shared" si="4"/>
        <v/>
      </c>
      <c r="C45" s="57" t="str">
        <f t="shared" si="5"/>
        <v/>
      </c>
      <c r="D45" s="57" t="str">
        <f t="shared" si="15"/>
        <v/>
      </c>
      <c r="E45" s="57" t="str">
        <f t="shared" si="6"/>
        <v/>
      </c>
      <c r="F45" s="57" t="str">
        <f t="shared" si="7"/>
        <v/>
      </c>
      <c r="G45" s="58"/>
      <c r="H45" s="57" t="str">
        <f t="shared" si="8"/>
        <v/>
      </c>
      <c r="I45" s="57" t="str">
        <f t="shared" si="9"/>
        <v/>
      </c>
      <c r="J45" s="57" t="str">
        <f t="shared" si="10"/>
        <v/>
      </c>
      <c r="K45" s="57" t="str">
        <f t="shared" si="11"/>
        <v>X</v>
      </c>
      <c r="L45" s="58"/>
      <c r="M45" s="57" t="str">
        <f t="shared" si="12"/>
        <v/>
      </c>
      <c r="N45" s="63">
        <f t="shared" si="13"/>
        <v>1</v>
      </c>
      <c r="O45" s="64">
        <f t="shared" si="14"/>
        <v>8.3333333333333329E-2</v>
      </c>
      <c r="Q45" s="60" t="str">
        <v>Point</v>
      </c>
      <c r="R45" s="58" t="s">
        <v>51</v>
      </c>
      <c r="S45" s="58" t="s">
        <v>30</v>
      </c>
      <c r="T45" s="58" t="s">
        <v>66</v>
      </c>
      <c r="U45" s="58"/>
      <c r="V45" s="58"/>
      <c r="W45" s="58"/>
    </row>
    <row r="46" spans="1:23" ht="15.75">
      <c r="A46" s="50" t="s">
        <v>14</v>
      </c>
      <c r="B46" s="57" t="str">
        <f t="shared" si="4"/>
        <v/>
      </c>
      <c r="C46" s="57" t="str">
        <f t="shared" si="5"/>
        <v/>
      </c>
      <c r="D46" s="57" t="str">
        <f t="shared" si="15"/>
        <v/>
      </c>
      <c r="E46" s="57" t="str">
        <f t="shared" si="6"/>
        <v/>
      </c>
      <c r="F46" s="57" t="str">
        <f t="shared" si="7"/>
        <v/>
      </c>
      <c r="G46" s="58"/>
      <c r="H46" s="57" t="str">
        <f t="shared" si="8"/>
        <v/>
      </c>
      <c r="I46" s="57" t="str">
        <f t="shared" si="9"/>
        <v/>
      </c>
      <c r="J46" s="57" t="str">
        <f t="shared" si="10"/>
        <v/>
      </c>
      <c r="K46" s="57" t="str">
        <f t="shared" si="11"/>
        <v>X</v>
      </c>
      <c r="L46" s="58"/>
      <c r="M46" s="57" t="str">
        <f t="shared" si="12"/>
        <v/>
      </c>
      <c r="N46" s="63">
        <f t="shared" si="13"/>
        <v>1</v>
      </c>
      <c r="O46" s="64">
        <f t="shared" si="14"/>
        <v>8.3333333333333329E-2</v>
      </c>
      <c r="Q46" s="60" t="str">
        <v>Table</v>
      </c>
      <c r="R46" s="58" t="s">
        <v>41</v>
      </c>
      <c r="S46" s="58" t="s">
        <v>39</v>
      </c>
      <c r="T46" s="58" t="s">
        <v>37</v>
      </c>
      <c r="U46" s="58"/>
      <c r="V46" s="58"/>
      <c r="W46" s="58"/>
    </row>
    <row r="47" spans="1:23" ht="15.75">
      <c r="A47" s="50" t="s">
        <v>15</v>
      </c>
      <c r="B47" s="57" t="str">
        <f t="shared" si="4"/>
        <v/>
      </c>
      <c r="C47" s="57" t="str">
        <f t="shared" si="5"/>
        <v/>
      </c>
      <c r="D47" s="57" t="str">
        <f t="shared" si="15"/>
        <v/>
      </c>
      <c r="E47" s="57" t="str">
        <f t="shared" si="6"/>
        <v/>
      </c>
      <c r="F47" s="57" t="str">
        <f t="shared" si="7"/>
        <v/>
      </c>
      <c r="G47" s="58"/>
      <c r="H47" s="57" t="str">
        <f t="shared" si="8"/>
        <v/>
      </c>
      <c r="I47" s="57" t="str">
        <f t="shared" si="9"/>
        <v/>
      </c>
      <c r="J47" s="57" t="str">
        <f t="shared" si="10"/>
        <v/>
      </c>
      <c r="K47" s="57" t="str">
        <f t="shared" si="11"/>
        <v>X</v>
      </c>
      <c r="L47" s="58"/>
      <c r="M47" s="57" t="str">
        <f t="shared" si="12"/>
        <v/>
      </c>
      <c r="N47" s="63">
        <f t="shared" si="13"/>
        <v>1</v>
      </c>
      <c r="O47" s="64">
        <f t="shared" si="14"/>
        <v>8.3333333333333329E-2</v>
      </c>
      <c r="Q47" s="60" t="str">
        <v>Text</v>
      </c>
      <c r="R47" s="58"/>
      <c r="S47" s="58"/>
      <c r="T47" s="58"/>
      <c r="U47" s="58"/>
      <c r="V47" s="58"/>
      <c r="W47" s="58"/>
    </row>
    <row r="48" spans="1:23" ht="15.75">
      <c r="A48" s="50" t="s">
        <v>16</v>
      </c>
      <c r="B48" s="57" t="str">
        <f t="shared" si="4"/>
        <v/>
      </c>
      <c r="C48" s="57" t="str">
        <f t="shared" si="5"/>
        <v/>
      </c>
      <c r="D48" s="57" t="str">
        <f t="shared" si="15"/>
        <v/>
      </c>
      <c r="E48" s="57" t="str">
        <f t="shared" si="6"/>
        <v/>
      </c>
      <c r="F48" s="57" t="str">
        <f t="shared" si="7"/>
        <v/>
      </c>
      <c r="G48" s="58"/>
      <c r="H48" s="57" t="str">
        <f t="shared" si="8"/>
        <v/>
      </c>
      <c r="I48" s="57" t="str">
        <f t="shared" si="9"/>
        <v/>
      </c>
      <c r="J48" s="57" t="str">
        <f t="shared" si="10"/>
        <v/>
      </c>
      <c r="K48" s="57" t="str">
        <f t="shared" si="11"/>
        <v>X</v>
      </c>
      <c r="L48" s="58"/>
      <c r="M48" s="57" t="str">
        <f t="shared" si="12"/>
        <v/>
      </c>
      <c r="N48" s="63">
        <f t="shared" si="13"/>
        <v>1</v>
      </c>
      <c r="O48" s="64">
        <f t="shared" si="14"/>
        <v>8.3333333333333329E-2</v>
      </c>
      <c r="Q48" s="60" t="str">
        <v>Trees &amp; Networks</v>
      </c>
      <c r="R48" s="58" t="s">
        <v>43</v>
      </c>
      <c r="S48" s="58"/>
      <c r="T48" s="58"/>
      <c r="U48" s="58"/>
      <c r="V48" s="58"/>
      <c r="W48" s="58"/>
    </row>
    <row r="49" spans="1:18" ht="15.75">
      <c r="A49" s="50" t="s">
        <v>17</v>
      </c>
      <c r="B49" s="57" t="str">
        <f t="shared" si="4"/>
        <v/>
      </c>
      <c r="C49" s="57" t="str">
        <f t="shared" si="5"/>
        <v/>
      </c>
      <c r="D49" s="57" t="str">
        <f t="shared" si="15"/>
        <v/>
      </c>
      <c r="E49" s="57" t="str">
        <f t="shared" si="6"/>
        <v/>
      </c>
      <c r="F49" s="57" t="str">
        <f t="shared" si="7"/>
        <v/>
      </c>
      <c r="G49" s="58"/>
      <c r="H49" s="57" t="str">
        <f t="shared" si="8"/>
        <v/>
      </c>
      <c r="I49" s="57" t="str">
        <f t="shared" si="9"/>
        <v/>
      </c>
      <c r="J49" s="57" t="str">
        <f t="shared" si="10"/>
        <v/>
      </c>
      <c r="K49" s="57" t="str">
        <f t="shared" si="11"/>
        <v>X</v>
      </c>
      <c r="L49" s="58"/>
      <c r="M49" s="57" t="str">
        <f t="shared" si="12"/>
        <v/>
      </c>
      <c r="N49" s="63">
        <f t="shared" si="13"/>
        <v>1</v>
      </c>
      <c r="O49" s="64">
        <f t="shared" si="14"/>
        <v>8.3333333333333329E-2</v>
      </c>
    </row>
    <row r="50" spans="1:18" ht="15.75">
      <c r="A50" s="50" t="s">
        <v>18</v>
      </c>
      <c r="B50" s="57" t="str">
        <f t="shared" si="4"/>
        <v/>
      </c>
      <c r="C50" s="57" t="str">
        <f t="shared" si="5"/>
        <v>X</v>
      </c>
      <c r="D50" s="57" t="str">
        <f t="shared" si="15"/>
        <v/>
      </c>
      <c r="E50" s="57" t="str">
        <f t="shared" si="6"/>
        <v>X</v>
      </c>
      <c r="F50" s="57" t="str">
        <f t="shared" si="7"/>
        <v>X</v>
      </c>
      <c r="G50" s="58"/>
      <c r="H50" s="57" t="str">
        <f t="shared" si="8"/>
        <v/>
      </c>
      <c r="I50" s="57" t="str">
        <f t="shared" si="9"/>
        <v/>
      </c>
      <c r="J50" s="57" t="str">
        <f t="shared" si="10"/>
        <v/>
      </c>
      <c r="K50" s="57" t="str">
        <f t="shared" si="11"/>
        <v>X</v>
      </c>
      <c r="L50" s="58"/>
      <c r="M50" s="57" t="str">
        <f t="shared" si="12"/>
        <v/>
      </c>
      <c r="N50" s="63">
        <f t="shared" si="13"/>
        <v>4</v>
      </c>
      <c r="O50" s="64">
        <f t="shared" si="14"/>
        <v>0.33333333333333331</v>
      </c>
    </row>
    <row r="51" spans="1:18" ht="15.75">
      <c r="A51" s="50" t="s">
        <v>19</v>
      </c>
      <c r="B51" s="57" t="str">
        <f t="shared" si="4"/>
        <v/>
      </c>
      <c r="C51" s="57" t="str">
        <f t="shared" si="5"/>
        <v/>
      </c>
      <c r="D51" s="57" t="str">
        <f t="shared" si="15"/>
        <v/>
      </c>
      <c r="E51" s="57" t="str">
        <f t="shared" si="6"/>
        <v/>
      </c>
      <c r="F51" s="57" t="str">
        <f t="shared" si="7"/>
        <v/>
      </c>
      <c r="G51" s="58"/>
      <c r="H51" s="57" t="str">
        <f t="shared" si="8"/>
        <v/>
      </c>
      <c r="I51" s="57" t="str">
        <f t="shared" si="9"/>
        <v/>
      </c>
      <c r="J51" s="57" t="str">
        <f t="shared" si="10"/>
        <v/>
      </c>
      <c r="K51" s="57" t="str">
        <f t="shared" si="11"/>
        <v>X</v>
      </c>
      <c r="L51" s="58"/>
      <c r="M51" s="57" t="str">
        <f t="shared" si="12"/>
        <v/>
      </c>
      <c r="N51" s="63">
        <f t="shared" si="13"/>
        <v>1</v>
      </c>
      <c r="O51" s="64">
        <f t="shared" si="14"/>
        <v>8.3333333333333329E-2</v>
      </c>
    </row>
    <row r="52" spans="1:18" ht="15.75">
      <c r="A52" s="52" t="s">
        <v>20</v>
      </c>
      <c r="B52" s="57" t="str">
        <f t="shared" si="4"/>
        <v/>
      </c>
      <c r="C52" s="57" t="str">
        <f t="shared" si="5"/>
        <v/>
      </c>
      <c r="D52" s="57" t="str">
        <f t="shared" si="15"/>
        <v/>
      </c>
      <c r="E52" s="57" t="str">
        <f t="shared" si="6"/>
        <v/>
      </c>
      <c r="F52" s="57" t="str">
        <f t="shared" si="7"/>
        <v/>
      </c>
      <c r="G52" s="58"/>
      <c r="H52" s="57" t="str">
        <f t="shared" si="8"/>
        <v/>
      </c>
      <c r="I52" s="57" t="str">
        <f t="shared" si="9"/>
        <v/>
      </c>
      <c r="J52" s="57" t="str">
        <f t="shared" si="10"/>
        <v/>
      </c>
      <c r="K52" s="57" t="str">
        <f t="shared" si="11"/>
        <v>X</v>
      </c>
      <c r="L52" s="58"/>
      <c r="M52" s="57" t="str">
        <f t="shared" si="12"/>
        <v/>
      </c>
      <c r="N52" s="63">
        <f t="shared" si="13"/>
        <v>1</v>
      </c>
      <c r="O52" s="64">
        <f t="shared" si="14"/>
        <v>8.3333333333333329E-2</v>
      </c>
    </row>
    <row r="53" spans="1:18" ht="15.75">
      <c r="A53" s="52" t="s">
        <v>21</v>
      </c>
      <c r="B53" s="57" t="str">
        <f t="shared" si="4"/>
        <v/>
      </c>
      <c r="C53" s="57" t="str">
        <f t="shared" si="5"/>
        <v>X</v>
      </c>
      <c r="D53" s="57" t="str">
        <f t="shared" si="15"/>
        <v/>
      </c>
      <c r="E53" s="57" t="str">
        <f t="shared" si="6"/>
        <v/>
      </c>
      <c r="F53" s="57" t="str">
        <f t="shared" si="7"/>
        <v/>
      </c>
      <c r="G53" s="58"/>
      <c r="H53" s="57" t="str">
        <f t="shared" si="8"/>
        <v>X</v>
      </c>
      <c r="I53" s="57" t="str">
        <f t="shared" si="9"/>
        <v>X</v>
      </c>
      <c r="J53" s="57" t="str">
        <f t="shared" si="10"/>
        <v/>
      </c>
      <c r="K53" s="57" t="str">
        <f t="shared" si="11"/>
        <v>X</v>
      </c>
      <c r="L53" s="58"/>
      <c r="M53" s="57" t="str">
        <f t="shared" si="12"/>
        <v/>
      </c>
      <c r="N53" s="63">
        <f t="shared" si="13"/>
        <v>4</v>
      </c>
      <c r="O53" s="64">
        <f t="shared" si="14"/>
        <v>0.33333333333333331</v>
      </c>
      <c r="P53" s="59"/>
      <c r="Q53" s="59"/>
      <c r="R53" s="59"/>
    </row>
    <row r="54" spans="1:18" ht="15.75">
      <c r="A54" s="52" t="s">
        <v>22</v>
      </c>
      <c r="B54" s="57" t="str">
        <f t="shared" si="4"/>
        <v/>
      </c>
      <c r="C54" s="57" t="str">
        <f t="shared" si="5"/>
        <v/>
      </c>
      <c r="D54" s="57" t="str">
        <f t="shared" si="15"/>
        <v/>
      </c>
      <c r="E54" s="57" t="str">
        <f t="shared" si="6"/>
        <v/>
      </c>
      <c r="F54" s="57" t="str">
        <f t="shared" si="7"/>
        <v/>
      </c>
      <c r="G54" s="58"/>
      <c r="H54" s="57" t="str">
        <f t="shared" si="8"/>
        <v/>
      </c>
      <c r="I54" s="57" t="str">
        <f t="shared" si="9"/>
        <v/>
      </c>
      <c r="J54" s="57" t="str">
        <f t="shared" si="10"/>
        <v/>
      </c>
      <c r="K54" s="57" t="str">
        <f t="shared" si="11"/>
        <v>X</v>
      </c>
      <c r="L54" s="58"/>
      <c r="M54" s="57" t="str">
        <f t="shared" si="12"/>
        <v/>
      </c>
      <c r="N54" s="63">
        <f t="shared" si="13"/>
        <v>1</v>
      </c>
      <c r="O54" s="64">
        <f t="shared" si="14"/>
        <v>8.3333333333333329E-2</v>
      </c>
      <c r="P54" s="59"/>
      <c r="Q54" s="59"/>
      <c r="R54" s="59"/>
    </row>
    <row r="55" spans="1:18" ht="15.75">
      <c r="A55" s="52" t="s">
        <v>23</v>
      </c>
      <c r="B55" s="57" t="str">
        <f t="shared" si="4"/>
        <v/>
      </c>
      <c r="C55" s="57" t="str">
        <f t="shared" si="5"/>
        <v/>
      </c>
      <c r="D55" s="57" t="str">
        <f t="shared" si="15"/>
        <v>X</v>
      </c>
      <c r="E55" s="57" t="str">
        <f t="shared" si="6"/>
        <v/>
      </c>
      <c r="F55" s="57" t="str">
        <f t="shared" si="7"/>
        <v/>
      </c>
      <c r="G55" s="58"/>
      <c r="H55" s="57" t="str">
        <f t="shared" si="8"/>
        <v/>
      </c>
      <c r="I55" s="57" t="str">
        <f t="shared" si="9"/>
        <v/>
      </c>
      <c r="J55" s="57" t="str">
        <f t="shared" si="10"/>
        <v/>
      </c>
      <c r="K55" s="57" t="str">
        <f t="shared" si="11"/>
        <v>X</v>
      </c>
      <c r="L55" s="58"/>
      <c r="M55" s="57" t="str">
        <f t="shared" si="12"/>
        <v/>
      </c>
      <c r="N55" s="63">
        <f t="shared" si="13"/>
        <v>2</v>
      </c>
      <c r="O55" s="64">
        <f t="shared" si="14"/>
        <v>0.16666666666666666</v>
      </c>
      <c r="P55" s="59"/>
      <c r="Q55" s="59"/>
      <c r="R55" s="59"/>
    </row>
    <row r="56" spans="1:18" ht="15.75">
      <c r="A56" s="52" t="s">
        <v>24</v>
      </c>
      <c r="B56" s="57" t="str">
        <f t="shared" si="4"/>
        <v/>
      </c>
      <c r="C56" s="57" t="str">
        <f t="shared" si="5"/>
        <v>X</v>
      </c>
      <c r="D56" s="57" t="str">
        <f t="shared" si="15"/>
        <v/>
      </c>
      <c r="E56" s="57" t="str">
        <f t="shared" si="6"/>
        <v/>
      </c>
      <c r="F56" s="57" t="str">
        <f t="shared" si="7"/>
        <v>X</v>
      </c>
      <c r="G56" s="58"/>
      <c r="H56" s="57" t="str">
        <f t="shared" si="8"/>
        <v/>
      </c>
      <c r="I56" s="57" t="str">
        <f t="shared" si="9"/>
        <v/>
      </c>
      <c r="J56" s="57" t="str">
        <f t="shared" si="10"/>
        <v/>
      </c>
      <c r="K56" s="57" t="str">
        <f t="shared" si="11"/>
        <v>X</v>
      </c>
      <c r="L56" s="58"/>
      <c r="M56" s="57" t="str">
        <f t="shared" si="12"/>
        <v/>
      </c>
      <c r="N56" s="63">
        <f t="shared" si="13"/>
        <v>3</v>
      </c>
      <c r="O56" s="64">
        <f t="shared" si="14"/>
        <v>0.25</v>
      </c>
      <c r="P56" s="59"/>
      <c r="Q56" s="59"/>
      <c r="R56" s="59"/>
    </row>
    <row r="57" spans="1:18" ht="15.75">
      <c r="A57" s="52" t="s">
        <v>25</v>
      </c>
      <c r="B57" s="57" t="str">
        <f t="shared" si="4"/>
        <v/>
      </c>
      <c r="C57" s="57" t="str">
        <f t="shared" si="5"/>
        <v/>
      </c>
      <c r="D57" s="57" t="str">
        <f t="shared" si="15"/>
        <v/>
      </c>
      <c r="E57" s="57" t="str">
        <f t="shared" si="6"/>
        <v/>
      </c>
      <c r="F57" s="57" t="str">
        <f t="shared" si="7"/>
        <v/>
      </c>
      <c r="G57" s="58"/>
      <c r="H57" s="57" t="str">
        <f t="shared" si="8"/>
        <v/>
      </c>
      <c r="I57" s="57" t="str">
        <f t="shared" si="9"/>
        <v/>
      </c>
      <c r="J57" s="57" t="str">
        <f t="shared" si="10"/>
        <v/>
      </c>
      <c r="K57" s="57" t="str">
        <f t="shared" si="11"/>
        <v>X</v>
      </c>
      <c r="L57" s="58"/>
      <c r="M57" s="57" t="str">
        <f t="shared" si="12"/>
        <v/>
      </c>
      <c r="N57" s="63">
        <f t="shared" si="13"/>
        <v>1</v>
      </c>
      <c r="O57" s="64">
        <f t="shared" si="14"/>
        <v>8.3333333333333329E-2</v>
      </c>
      <c r="P57" s="59"/>
      <c r="Q57" s="59"/>
      <c r="R57" s="59"/>
    </row>
    <row r="58" spans="1:18" ht="15.75">
      <c r="A58" s="52" t="s">
        <v>26</v>
      </c>
      <c r="B58" s="57" t="str">
        <f t="shared" si="4"/>
        <v/>
      </c>
      <c r="C58" s="57" t="str">
        <f t="shared" si="5"/>
        <v>X</v>
      </c>
      <c r="D58" s="57" t="str">
        <f t="shared" si="15"/>
        <v/>
      </c>
      <c r="E58" s="57" t="str">
        <f t="shared" si="6"/>
        <v>X</v>
      </c>
      <c r="F58" s="57" t="str">
        <f t="shared" si="7"/>
        <v/>
      </c>
      <c r="G58" s="58"/>
      <c r="H58" s="57" t="str">
        <f t="shared" si="8"/>
        <v/>
      </c>
      <c r="I58" s="57" t="str">
        <f t="shared" si="9"/>
        <v/>
      </c>
      <c r="J58" s="57" t="str">
        <f t="shared" si="10"/>
        <v>X</v>
      </c>
      <c r="K58" s="57" t="str">
        <f t="shared" si="11"/>
        <v>X</v>
      </c>
      <c r="L58" s="58"/>
      <c r="M58" s="57" t="str">
        <f t="shared" si="12"/>
        <v/>
      </c>
      <c r="N58" s="63">
        <f t="shared" si="13"/>
        <v>4</v>
      </c>
      <c r="O58" s="64">
        <f t="shared" si="14"/>
        <v>0.33333333333333331</v>
      </c>
      <c r="P58" s="59"/>
      <c r="Q58" s="59"/>
      <c r="R58" s="59"/>
    </row>
    <row r="59" spans="1:18" ht="15.75">
      <c r="A59" s="52" t="s">
        <v>27</v>
      </c>
      <c r="B59" s="57" t="str">
        <f t="shared" si="4"/>
        <v/>
      </c>
      <c r="C59" s="57" t="str">
        <f t="shared" si="5"/>
        <v/>
      </c>
      <c r="D59" s="57" t="str">
        <f t="shared" si="15"/>
        <v/>
      </c>
      <c r="E59" s="57" t="str">
        <f t="shared" si="6"/>
        <v/>
      </c>
      <c r="F59" s="57" t="str">
        <f t="shared" si="7"/>
        <v/>
      </c>
      <c r="G59" s="58"/>
      <c r="H59" s="57" t="str">
        <f t="shared" si="8"/>
        <v/>
      </c>
      <c r="I59" s="57" t="str">
        <f t="shared" si="9"/>
        <v/>
      </c>
      <c r="J59" s="57" t="str">
        <f t="shared" si="10"/>
        <v/>
      </c>
      <c r="K59" s="57" t="str">
        <f t="shared" si="11"/>
        <v>X</v>
      </c>
      <c r="L59" s="58"/>
      <c r="M59" s="57" t="str">
        <f t="shared" si="12"/>
        <v/>
      </c>
      <c r="N59" s="63">
        <f t="shared" si="13"/>
        <v>1</v>
      </c>
      <c r="O59" s="64">
        <f t="shared" si="14"/>
        <v>8.3333333333333329E-2</v>
      </c>
      <c r="P59" s="59"/>
      <c r="Q59" s="59"/>
      <c r="R59" s="59"/>
    </row>
    <row r="60" spans="1:18">
      <c r="B60" s="61">
        <f>COUNTIF(B34:B59,"=X")</f>
        <v>1</v>
      </c>
      <c r="C60" s="61">
        <f t="shared" ref="C60:M60" si="16">COUNTIF(C34:C59,"=X")</f>
        <v>6</v>
      </c>
      <c r="D60" s="61">
        <f t="shared" si="16"/>
        <v>3</v>
      </c>
      <c r="E60" s="61">
        <f t="shared" si="16"/>
        <v>2</v>
      </c>
      <c r="F60" s="61">
        <f t="shared" si="16"/>
        <v>2</v>
      </c>
      <c r="G60" s="61">
        <f t="shared" si="16"/>
        <v>0</v>
      </c>
      <c r="H60" s="61">
        <f t="shared" si="16"/>
        <v>4</v>
      </c>
      <c r="I60" s="61">
        <f t="shared" si="16"/>
        <v>3</v>
      </c>
      <c r="J60" s="61">
        <f t="shared" si="16"/>
        <v>2</v>
      </c>
      <c r="K60" s="61">
        <f t="shared" si="16"/>
        <v>26</v>
      </c>
      <c r="L60" s="61">
        <f t="shared" si="16"/>
        <v>0</v>
      </c>
      <c r="M60" s="61">
        <f t="shared" si="16"/>
        <v>1</v>
      </c>
    </row>
    <row r="61" spans="1:18">
      <c r="B61" s="62">
        <f>COUNTIF(B34:B59,"=X")/26</f>
        <v>3.8461538461538464E-2</v>
      </c>
      <c r="C61" s="62">
        <f t="shared" ref="C61:M61" si="17">COUNTIF(C34:C59,"=X")/26</f>
        <v>0.23076923076923078</v>
      </c>
      <c r="D61" s="62">
        <f t="shared" si="17"/>
        <v>0.11538461538461539</v>
      </c>
      <c r="E61" s="62">
        <f t="shared" si="17"/>
        <v>7.6923076923076927E-2</v>
      </c>
      <c r="F61" s="62">
        <f t="shared" si="17"/>
        <v>7.6923076923076927E-2</v>
      </c>
      <c r="G61" s="62">
        <f t="shared" si="17"/>
        <v>0</v>
      </c>
      <c r="H61" s="62">
        <f t="shared" si="17"/>
        <v>0.15384615384615385</v>
      </c>
      <c r="I61" s="62">
        <f t="shared" si="17"/>
        <v>0.11538461538461539</v>
      </c>
      <c r="J61" s="62">
        <f t="shared" si="17"/>
        <v>7.6923076923076927E-2</v>
      </c>
      <c r="K61" s="62">
        <f t="shared" si="17"/>
        <v>1</v>
      </c>
      <c r="L61" s="62">
        <f t="shared" si="17"/>
        <v>0</v>
      </c>
      <c r="M61" s="62">
        <f t="shared" si="17"/>
        <v>3.8461538461538464E-2</v>
      </c>
    </row>
    <row r="62" spans="1:18" s="55" customFormat="1"/>
    <row r="63" spans="1:18" s="55" customFormat="1"/>
  </sheetData>
  <mergeCells count="2">
    <mergeCell ref="Q34:S34"/>
    <mergeCell ref="Q35:S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AE8E-00DB-4F22-BB6C-4DFA70073951}">
  <sheetPr>
    <tabColor theme="5" tint="-0.249977111117893"/>
  </sheetPr>
  <dimension ref="A1:Z63"/>
  <sheetViews>
    <sheetView workbookViewId="0">
      <pane xSplit="1" ySplit="1" topLeftCell="B10" activePane="bottomRight" state="frozen"/>
      <selection pane="bottomRight" activeCell="G32" sqref="G32"/>
      <selection pane="bottomLeft"/>
      <selection pane="topRight"/>
    </sheetView>
  </sheetViews>
  <sheetFormatPr defaultRowHeight="15"/>
  <cols>
    <col min="1" max="1" width="18" bestFit="1" customWidth="1"/>
    <col min="2" max="2" width="13.42578125" bestFit="1" customWidth="1"/>
    <col min="3" max="3" width="12.7109375" bestFit="1" customWidth="1"/>
    <col min="4" max="4" width="17.5703125" bestFit="1" customWidth="1"/>
    <col min="5" max="5" width="16.85546875" bestFit="1" customWidth="1"/>
    <col min="6" max="6" width="19" bestFit="1" customWidth="1"/>
    <col min="7" max="7" width="14.140625" bestFit="1" customWidth="1"/>
    <col min="8" max="8" width="10.7109375" bestFit="1" customWidth="1"/>
    <col min="9" max="9" width="23" bestFit="1" customWidth="1"/>
    <col min="10" max="10" width="9.28515625" bestFit="1" customWidth="1"/>
    <col min="11" max="11" width="9.7109375" bestFit="1" customWidth="1"/>
    <col min="12" max="12" width="12" bestFit="1" customWidth="1"/>
    <col min="13" max="13" width="19.42578125" bestFit="1" customWidth="1"/>
    <col min="14" max="14" width="9.28515625" bestFit="1" customWidth="1"/>
    <col min="15" max="15" width="9.7109375" bestFit="1" customWidth="1"/>
    <col min="16" max="17" width="18.28515625" bestFit="1" customWidth="1"/>
    <col min="18" max="18" width="21.5703125" bestFit="1" customWidth="1"/>
    <col min="19" max="19" width="21.28515625" bestFit="1" customWidth="1"/>
    <col min="20" max="20" width="17.7109375" bestFit="1" customWidth="1"/>
    <col min="21" max="21" width="16.7109375" bestFit="1" customWidth="1"/>
    <col min="22" max="22" width="22.140625" bestFit="1" customWidth="1"/>
    <col min="23" max="23" width="16.5703125" bestFit="1" customWidth="1"/>
    <col min="24" max="24" width="8.85546875" bestFit="1" customWidth="1"/>
  </cols>
  <sheetData>
    <row r="1" spans="1:26" s="36" customFormat="1" ht="15.75">
      <c r="A1" s="56" t="s">
        <v>28</v>
      </c>
      <c r="B1" s="56" t="s">
        <v>29</v>
      </c>
      <c r="C1" s="56" t="s">
        <v>30</v>
      </c>
      <c r="D1" s="56" t="s">
        <v>31</v>
      </c>
      <c r="E1" s="56" t="s">
        <v>32</v>
      </c>
      <c r="F1" s="56" t="s">
        <v>33</v>
      </c>
      <c r="G1" s="56" t="s">
        <v>34</v>
      </c>
      <c r="H1" s="56" t="s">
        <v>35</v>
      </c>
      <c r="I1" s="56" t="s">
        <v>36</v>
      </c>
      <c r="J1" s="56" t="s">
        <v>37</v>
      </c>
      <c r="K1" s="56" t="s">
        <v>38</v>
      </c>
      <c r="L1" s="56" t="s">
        <v>39</v>
      </c>
      <c r="M1" s="56" t="s">
        <v>40</v>
      </c>
      <c r="N1" s="56" t="s">
        <v>41</v>
      </c>
      <c r="O1" s="56" t="s">
        <v>42</v>
      </c>
      <c r="P1" s="56" t="s">
        <v>43</v>
      </c>
      <c r="Q1" s="56" t="s">
        <v>44</v>
      </c>
      <c r="R1" s="56" t="s">
        <v>45</v>
      </c>
      <c r="S1" s="56" t="s">
        <v>46</v>
      </c>
      <c r="T1" s="56" t="s">
        <v>47</v>
      </c>
      <c r="U1" s="56" t="s">
        <v>48</v>
      </c>
      <c r="V1" s="56" t="s">
        <v>49</v>
      </c>
      <c r="W1" s="56" t="s">
        <v>50</v>
      </c>
      <c r="X1" s="56" t="s">
        <v>51</v>
      </c>
    </row>
    <row r="2" spans="1:26" ht="15.75">
      <c r="A2" s="50" t="s">
        <v>2</v>
      </c>
      <c r="B2" s="51"/>
      <c r="C2" s="51"/>
      <c r="D2" s="51" t="s">
        <v>52</v>
      </c>
      <c r="E2" s="51"/>
      <c r="F2" s="51"/>
      <c r="G2" s="51"/>
      <c r="H2" s="51" t="s">
        <v>52</v>
      </c>
      <c r="I2" s="51"/>
      <c r="J2" s="51" t="s">
        <v>52</v>
      </c>
      <c r="K2" s="51" t="s">
        <v>52</v>
      </c>
      <c r="L2" s="51"/>
      <c r="M2" s="51"/>
      <c r="N2" s="51" t="s">
        <v>52</v>
      </c>
      <c r="O2" s="51"/>
      <c r="P2" s="51"/>
      <c r="Q2" s="51"/>
      <c r="R2" s="51"/>
      <c r="S2" s="51"/>
      <c r="T2" s="51"/>
      <c r="U2" s="51"/>
      <c r="V2" s="51"/>
      <c r="W2" s="51"/>
      <c r="X2" s="51"/>
      <c r="Y2" s="63">
        <f t="shared" ref="Y2:Y27" si="0">COUNTIF(B2:X2,"=X")</f>
        <v>5</v>
      </c>
      <c r="Z2" s="64">
        <f>COUNTIF(B2:X2,"=X")/23</f>
        <v>0.21739130434782608</v>
      </c>
    </row>
    <row r="3" spans="1:26" ht="15.75">
      <c r="A3" s="50" t="s">
        <v>3</v>
      </c>
      <c r="B3" s="51" t="s">
        <v>52</v>
      </c>
      <c r="C3" s="51" t="s">
        <v>52</v>
      </c>
      <c r="D3" s="51"/>
      <c r="E3" s="51" t="s">
        <v>52</v>
      </c>
      <c r="F3" s="51"/>
      <c r="G3" s="51"/>
      <c r="H3" s="51" t="s">
        <v>52</v>
      </c>
      <c r="I3" s="51" t="s">
        <v>52</v>
      </c>
      <c r="J3" s="51" t="s">
        <v>52</v>
      </c>
      <c r="K3" s="51"/>
      <c r="L3" s="51" t="s">
        <v>52</v>
      </c>
      <c r="M3" s="51" t="s">
        <v>52</v>
      </c>
      <c r="N3" s="51" t="s">
        <v>52</v>
      </c>
      <c r="O3" s="51"/>
      <c r="P3" s="51" t="s">
        <v>52</v>
      </c>
      <c r="Q3" s="51" t="s">
        <v>52</v>
      </c>
      <c r="R3" s="51"/>
      <c r="S3" s="51"/>
      <c r="T3" s="51"/>
      <c r="U3" s="51"/>
      <c r="V3" s="51"/>
      <c r="W3" s="51"/>
      <c r="X3" s="51" t="s">
        <v>52</v>
      </c>
      <c r="Y3" s="63">
        <f t="shared" si="0"/>
        <v>12</v>
      </c>
      <c r="Z3" s="64">
        <f t="shared" ref="Z3:Z27" si="1">COUNTIF(B3:X3,"=X")/23</f>
        <v>0.52173913043478259</v>
      </c>
    </row>
    <row r="4" spans="1:26" ht="15.75">
      <c r="A4" s="50" t="s">
        <v>4</v>
      </c>
      <c r="B4" s="51"/>
      <c r="C4" s="51"/>
      <c r="D4" s="51"/>
      <c r="E4" s="51" t="s">
        <v>52</v>
      </c>
      <c r="F4" s="51"/>
      <c r="G4" s="51"/>
      <c r="H4" s="51"/>
      <c r="I4" s="51"/>
      <c r="J4" s="51" t="s">
        <v>52</v>
      </c>
      <c r="K4" s="51"/>
      <c r="L4" s="51" t="s">
        <v>52</v>
      </c>
      <c r="M4" s="51"/>
      <c r="N4" s="51" t="s">
        <v>52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63">
        <f t="shared" si="0"/>
        <v>4</v>
      </c>
      <c r="Z4" s="64">
        <f t="shared" si="1"/>
        <v>0.17391304347826086</v>
      </c>
    </row>
    <row r="5" spans="1:26" ht="15.75">
      <c r="A5" s="50" t="s">
        <v>5</v>
      </c>
      <c r="B5" s="51"/>
      <c r="C5" s="51"/>
      <c r="D5" s="51" t="s">
        <v>52</v>
      </c>
      <c r="E5" s="51"/>
      <c r="F5" s="51"/>
      <c r="G5" s="51"/>
      <c r="H5" s="51"/>
      <c r="I5" s="51"/>
      <c r="J5" s="51" t="s">
        <v>52</v>
      </c>
      <c r="K5" s="51"/>
      <c r="L5" s="51" t="s">
        <v>52</v>
      </c>
      <c r="M5" s="51"/>
      <c r="N5" s="51" t="s">
        <v>52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63">
        <f t="shared" si="0"/>
        <v>4</v>
      </c>
      <c r="Z5" s="64">
        <f t="shared" si="1"/>
        <v>0.17391304347826086</v>
      </c>
    </row>
    <row r="6" spans="1:26" ht="15.75">
      <c r="A6" s="50" t="s">
        <v>6</v>
      </c>
      <c r="B6" s="51"/>
      <c r="C6" s="51"/>
      <c r="D6" s="51" t="s">
        <v>52</v>
      </c>
      <c r="E6" s="51"/>
      <c r="F6" s="51" t="s">
        <v>52</v>
      </c>
      <c r="G6" s="51"/>
      <c r="H6" s="51"/>
      <c r="I6" s="51" t="s">
        <v>52</v>
      </c>
      <c r="J6" s="51" t="s">
        <v>52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63">
        <f t="shared" si="0"/>
        <v>4</v>
      </c>
      <c r="Z6" s="64">
        <f t="shared" si="1"/>
        <v>0.17391304347826086</v>
      </c>
    </row>
    <row r="7" spans="1:26" ht="15.75">
      <c r="A7" s="50" t="s">
        <v>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 t="s">
        <v>52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63">
        <f t="shared" si="0"/>
        <v>1</v>
      </c>
      <c r="Z7" s="64">
        <f t="shared" si="1"/>
        <v>4.3478260869565216E-2</v>
      </c>
    </row>
    <row r="8" spans="1:26" ht="15.75">
      <c r="A8" s="50" t="s">
        <v>8</v>
      </c>
      <c r="B8" s="51"/>
      <c r="C8" s="51"/>
      <c r="D8" s="51"/>
      <c r="E8" s="51"/>
      <c r="F8" s="51"/>
      <c r="G8" s="51"/>
      <c r="H8" s="51"/>
      <c r="I8" s="51"/>
      <c r="J8" s="51" t="s">
        <v>52</v>
      </c>
      <c r="K8" s="51"/>
      <c r="L8" s="51" t="s">
        <v>52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63">
        <f t="shared" si="0"/>
        <v>2</v>
      </c>
      <c r="Z8" s="64">
        <f t="shared" si="1"/>
        <v>8.6956521739130432E-2</v>
      </c>
    </row>
    <row r="9" spans="1:26" ht="15.75">
      <c r="A9" s="50" t="s">
        <v>9</v>
      </c>
      <c r="B9" s="51"/>
      <c r="C9" s="51"/>
      <c r="D9" s="51" t="s">
        <v>52</v>
      </c>
      <c r="E9" s="51"/>
      <c r="F9" s="51"/>
      <c r="G9" s="51"/>
      <c r="H9" s="51"/>
      <c r="I9" s="51"/>
      <c r="J9" s="51" t="s">
        <v>52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63">
        <f t="shared" si="0"/>
        <v>2</v>
      </c>
      <c r="Z9" s="64">
        <f t="shared" si="1"/>
        <v>8.6956521739130432E-2</v>
      </c>
    </row>
    <row r="10" spans="1:26" ht="15.75">
      <c r="A10" s="50" t="s">
        <v>10</v>
      </c>
      <c r="B10" s="51"/>
      <c r="C10" s="51"/>
      <c r="D10" s="51" t="s">
        <v>52</v>
      </c>
      <c r="E10" s="51"/>
      <c r="F10" s="51"/>
      <c r="G10" s="51"/>
      <c r="H10" s="51"/>
      <c r="I10" s="51"/>
      <c r="J10" s="51" t="s">
        <v>52</v>
      </c>
      <c r="K10" s="51"/>
      <c r="L10" s="51" t="s">
        <v>52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63">
        <f t="shared" si="0"/>
        <v>3</v>
      </c>
      <c r="Z10" s="64">
        <f t="shared" si="1"/>
        <v>0.13043478260869565</v>
      </c>
    </row>
    <row r="11" spans="1:26" ht="15.75">
      <c r="A11" s="50" t="s">
        <v>11</v>
      </c>
      <c r="B11" s="51" t="s">
        <v>52</v>
      </c>
      <c r="C11" s="51"/>
      <c r="D11" s="51"/>
      <c r="E11" s="51"/>
      <c r="F11" s="51"/>
      <c r="G11" s="51"/>
      <c r="H11" s="51"/>
      <c r="I11" s="51"/>
      <c r="J11" s="51" t="s">
        <v>52</v>
      </c>
      <c r="K11" s="51"/>
      <c r="L11" s="51" t="s">
        <v>52</v>
      </c>
      <c r="M11" s="51"/>
      <c r="N11" s="51" t="s">
        <v>52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63">
        <f t="shared" si="0"/>
        <v>4</v>
      </c>
      <c r="Z11" s="64">
        <f t="shared" si="1"/>
        <v>0.17391304347826086</v>
      </c>
    </row>
    <row r="12" spans="1:26" ht="15.75">
      <c r="A12" s="50" t="s">
        <v>12</v>
      </c>
      <c r="B12" s="51"/>
      <c r="C12" s="51"/>
      <c r="D12" s="51"/>
      <c r="E12" s="51"/>
      <c r="F12" s="51"/>
      <c r="G12" s="51"/>
      <c r="H12" s="51"/>
      <c r="I12" s="51"/>
      <c r="J12" s="51" t="s">
        <v>52</v>
      </c>
      <c r="K12" s="51"/>
      <c r="L12" s="51" t="s">
        <v>52</v>
      </c>
      <c r="M12" s="51"/>
      <c r="N12" s="51" t="s">
        <v>52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63">
        <f t="shared" si="0"/>
        <v>3</v>
      </c>
      <c r="Z12" s="64">
        <f t="shared" si="1"/>
        <v>0.13043478260869565</v>
      </c>
    </row>
    <row r="13" spans="1:26" ht="15.75">
      <c r="A13" s="50" t="s">
        <v>13</v>
      </c>
      <c r="B13" s="51"/>
      <c r="C13" s="51"/>
      <c r="D13" s="51"/>
      <c r="E13" s="51"/>
      <c r="F13" s="51"/>
      <c r="G13" s="51"/>
      <c r="H13" s="51"/>
      <c r="I13" s="51"/>
      <c r="J13" s="51" t="s">
        <v>52</v>
      </c>
      <c r="K13" s="51"/>
      <c r="L13" s="51" t="s">
        <v>52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63">
        <f t="shared" si="0"/>
        <v>2</v>
      </c>
      <c r="Z13" s="64">
        <f t="shared" si="1"/>
        <v>8.6956521739130432E-2</v>
      </c>
    </row>
    <row r="14" spans="1:26" ht="15.75">
      <c r="A14" s="50" t="s">
        <v>14</v>
      </c>
      <c r="B14" s="51"/>
      <c r="C14" s="51"/>
      <c r="D14" s="51"/>
      <c r="E14" s="51"/>
      <c r="F14" s="51"/>
      <c r="G14" s="51"/>
      <c r="H14" s="51"/>
      <c r="I14" s="51"/>
      <c r="J14" s="51" t="s">
        <v>52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63">
        <f t="shared" si="0"/>
        <v>1</v>
      </c>
      <c r="Z14" s="64">
        <f t="shared" si="1"/>
        <v>4.3478260869565216E-2</v>
      </c>
    </row>
    <row r="15" spans="1:26" ht="15.75">
      <c r="A15" s="50" t="s">
        <v>15</v>
      </c>
      <c r="B15" s="51"/>
      <c r="C15" s="51"/>
      <c r="D15" s="51"/>
      <c r="E15" s="51"/>
      <c r="F15" s="51"/>
      <c r="G15" s="51"/>
      <c r="H15" s="51"/>
      <c r="I15" s="51"/>
      <c r="J15" s="51" t="s">
        <v>52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63">
        <f t="shared" si="0"/>
        <v>1</v>
      </c>
      <c r="Z15" s="64">
        <f t="shared" si="1"/>
        <v>4.3478260869565216E-2</v>
      </c>
    </row>
    <row r="16" spans="1:26" ht="15.75">
      <c r="A16" s="50" t="s">
        <v>16</v>
      </c>
      <c r="B16" s="51"/>
      <c r="C16" s="51"/>
      <c r="D16" s="51"/>
      <c r="E16" s="51"/>
      <c r="F16" s="51"/>
      <c r="G16" s="51"/>
      <c r="H16" s="51"/>
      <c r="I16" s="51"/>
      <c r="J16" s="51" t="s">
        <v>52</v>
      </c>
      <c r="K16" s="51"/>
      <c r="L16" s="51" t="s">
        <v>52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63">
        <f t="shared" si="0"/>
        <v>2</v>
      </c>
      <c r="Z16" s="64">
        <f t="shared" si="1"/>
        <v>8.6956521739130432E-2</v>
      </c>
    </row>
    <row r="17" spans="1:26" ht="15.75">
      <c r="A17" s="50" t="s">
        <v>17</v>
      </c>
      <c r="B17" s="51"/>
      <c r="C17" s="51"/>
      <c r="D17" s="51"/>
      <c r="E17" s="51"/>
      <c r="F17" s="51"/>
      <c r="G17" s="51"/>
      <c r="H17" s="51"/>
      <c r="I17" s="51"/>
      <c r="J17" s="51" t="s">
        <v>52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63">
        <f t="shared" si="0"/>
        <v>1</v>
      </c>
      <c r="Z17" s="64">
        <f t="shared" si="1"/>
        <v>4.3478260869565216E-2</v>
      </c>
    </row>
    <row r="18" spans="1:26" ht="15.75">
      <c r="A18" s="50" t="s">
        <v>18</v>
      </c>
      <c r="B18" s="51"/>
      <c r="C18" s="51"/>
      <c r="D18" s="51"/>
      <c r="E18" s="51"/>
      <c r="F18" s="51"/>
      <c r="G18" s="51" t="s">
        <v>52</v>
      </c>
      <c r="H18" s="51"/>
      <c r="I18" s="51"/>
      <c r="J18" s="51" t="s">
        <v>52</v>
      </c>
      <c r="K18" s="51"/>
      <c r="L18" s="51"/>
      <c r="M18" s="51"/>
      <c r="N18" s="51"/>
      <c r="O18" s="51" t="s">
        <v>52</v>
      </c>
      <c r="P18" s="51"/>
      <c r="Q18" s="51"/>
      <c r="R18" s="51"/>
      <c r="S18" s="51"/>
      <c r="T18" s="51"/>
      <c r="U18" s="51"/>
      <c r="V18" s="51"/>
      <c r="W18" s="51"/>
      <c r="X18" s="51"/>
      <c r="Y18" s="63">
        <f t="shared" si="0"/>
        <v>3</v>
      </c>
      <c r="Z18" s="64">
        <f t="shared" si="1"/>
        <v>0.13043478260869565</v>
      </c>
    </row>
    <row r="19" spans="1:26" ht="15.75">
      <c r="A19" s="50" t="s">
        <v>19</v>
      </c>
      <c r="B19" s="51"/>
      <c r="C19" s="51"/>
      <c r="D19" s="51"/>
      <c r="E19" s="51"/>
      <c r="F19" s="51"/>
      <c r="G19" s="51"/>
      <c r="H19" s="51"/>
      <c r="I19" s="51"/>
      <c r="J19" s="51" t="s">
        <v>52</v>
      </c>
      <c r="K19" s="51"/>
      <c r="L19" s="51" t="s">
        <v>52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63">
        <f t="shared" si="0"/>
        <v>2</v>
      </c>
      <c r="Z19" s="64">
        <f t="shared" si="1"/>
        <v>8.6956521739130432E-2</v>
      </c>
    </row>
    <row r="20" spans="1:26" ht="15.75">
      <c r="A20" s="52" t="s">
        <v>20</v>
      </c>
      <c r="B20" s="53"/>
      <c r="C20" s="53"/>
      <c r="D20" s="53"/>
      <c r="E20" s="53"/>
      <c r="F20" s="53"/>
      <c r="G20" s="53"/>
      <c r="H20" s="53"/>
      <c r="I20" s="53"/>
      <c r="J20" s="53" t="s">
        <v>52</v>
      </c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63">
        <f t="shared" si="0"/>
        <v>1</v>
      </c>
      <c r="Z20" s="64">
        <f t="shared" si="1"/>
        <v>4.3478260869565216E-2</v>
      </c>
    </row>
    <row r="21" spans="1:26" ht="15.75">
      <c r="A21" s="52" t="s">
        <v>21</v>
      </c>
      <c r="B21" s="53"/>
      <c r="C21" s="53"/>
      <c r="D21" s="53"/>
      <c r="E21" s="53" t="s">
        <v>52</v>
      </c>
      <c r="F21" s="53"/>
      <c r="G21" s="53"/>
      <c r="H21" s="53" t="s">
        <v>52</v>
      </c>
      <c r="I21" s="53"/>
      <c r="J21" s="53" t="s">
        <v>52</v>
      </c>
      <c r="K21" s="53"/>
      <c r="L21" s="53" t="s">
        <v>52</v>
      </c>
      <c r="M21" s="53"/>
      <c r="N21" s="53"/>
      <c r="O21" s="53"/>
      <c r="P21" s="53"/>
      <c r="Q21" s="53"/>
      <c r="R21" s="53"/>
      <c r="S21" s="53" t="s">
        <v>52</v>
      </c>
      <c r="T21" s="53"/>
      <c r="U21" s="53"/>
      <c r="V21" s="53"/>
      <c r="W21" s="53"/>
      <c r="X21" s="53"/>
      <c r="Y21" s="63">
        <f t="shared" si="0"/>
        <v>5</v>
      </c>
      <c r="Z21" s="64">
        <f t="shared" si="1"/>
        <v>0.21739130434782608</v>
      </c>
    </row>
    <row r="22" spans="1:26" ht="15.75">
      <c r="A22" s="52" t="s">
        <v>22</v>
      </c>
      <c r="B22" s="53"/>
      <c r="C22" s="53"/>
      <c r="D22" s="53"/>
      <c r="E22" s="53"/>
      <c r="F22" s="53"/>
      <c r="G22" s="53"/>
      <c r="H22" s="53"/>
      <c r="I22" s="53"/>
      <c r="J22" s="53" t="s">
        <v>52</v>
      </c>
      <c r="K22" s="53"/>
      <c r="L22" s="53" t="s">
        <v>52</v>
      </c>
      <c r="M22" s="53"/>
      <c r="N22" s="53" t="s">
        <v>52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63">
        <f t="shared" si="0"/>
        <v>3</v>
      </c>
      <c r="Z22" s="64">
        <f t="shared" si="1"/>
        <v>0.13043478260869565</v>
      </c>
    </row>
    <row r="23" spans="1:26" ht="15.75">
      <c r="A23" s="52" t="s">
        <v>23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 t="s">
        <v>52</v>
      </c>
      <c r="M23" s="53"/>
      <c r="N23" s="53" t="s">
        <v>52</v>
      </c>
      <c r="O23" s="53"/>
      <c r="P23" s="53"/>
      <c r="Q23" s="53"/>
      <c r="R23" s="53"/>
      <c r="S23" s="53"/>
      <c r="T23" s="53" t="s">
        <v>52</v>
      </c>
      <c r="U23" s="53"/>
      <c r="V23" s="53"/>
      <c r="W23" s="53"/>
      <c r="X23" s="53"/>
      <c r="Y23" s="63">
        <f t="shared" si="0"/>
        <v>3</v>
      </c>
      <c r="Z23" s="64">
        <f t="shared" si="1"/>
        <v>0.13043478260869565</v>
      </c>
    </row>
    <row r="24" spans="1:26" ht="15.75">
      <c r="A24" s="52" t="s">
        <v>24</v>
      </c>
      <c r="B24" s="53"/>
      <c r="C24" s="53"/>
      <c r="D24" s="53"/>
      <c r="E24" s="53"/>
      <c r="F24" s="53"/>
      <c r="G24" s="53" t="s">
        <v>52</v>
      </c>
      <c r="H24" s="53"/>
      <c r="I24" s="53"/>
      <c r="J24" s="53" t="s">
        <v>52</v>
      </c>
      <c r="K24" s="53"/>
      <c r="L24" s="53" t="s">
        <v>52</v>
      </c>
      <c r="M24" s="53"/>
      <c r="N24" s="53"/>
      <c r="O24" s="53"/>
      <c r="P24" s="53"/>
      <c r="Q24" s="53"/>
      <c r="R24" s="53"/>
      <c r="S24" s="53"/>
      <c r="T24" s="53"/>
      <c r="U24" s="53" t="s">
        <v>52</v>
      </c>
      <c r="V24" s="53"/>
      <c r="W24" s="53"/>
      <c r="X24" s="53"/>
      <c r="Y24" s="63">
        <f t="shared" si="0"/>
        <v>4</v>
      </c>
      <c r="Z24" s="64">
        <f t="shared" si="1"/>
        <v>0.17391304347826086</v>
      </c>
    </row>
    <row r="25" spans="1:26" ht="15.75">
      <c r="A25" s="52" t="s">
        <v>25</v>
      </c>
      <c r="B25" s="53"/>
      <c r="C25" s="53"/>
      <c r="D25" s="53"/>
      <c r="E25" s="53"/>
      <c r="F25" s="53"/>
      <c r="G25" s="53"/>
      <c r="H25" s="53"/>
      <c r="I25" s="53"/>
      <c r="J25" s="53" t="s">
        <v>52</v>
      </c>
      <c r="K25" s="53"/>
      <c r="L25" s="53"/>
      <c r="M25" s="53"/>
      <c r="N25" s="53" t="s">
        <v>52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63">
        <f t="shared" si="0"/>
        <v>2</v>
      </c>
      <c r="Z25" s="64">
        <f t="shared" si="1"/>
        <v>8.6956521739130432E-2</v>
      </c>
    </row>
    <row r="26" spans="1:26" ht="15.75">
      <c r="A26" s="52" t="s">
        <v>26</v>
      </c>
      <c r="B26" s="53" t="s">
        <v>52</v>
      </c>
      <c r="C26" s="53"/>
      <c r="D26" s="53"/>
      <c r="E26" s="53"/>
      <c r="F26" s="53"/>
      <c r="G26" s="53"/>
      <c r="H26" s="53"/>
      <c r="I26" s="53"/>
      <c r="J26" s="53" t="s">
        <v>52</v>
      </c>
      <c r="K26" s="53"/>
      <c r="L26" s="53"/>
      <c r="M26" s="53"/>
      <c r="N26" s="53" t="s">
        <v>52</v>
      </c>
      <c r="O26" s="53"/>
      <c r="P26" s="53"/>
      <c r="Q26" s="53"/>
      <c r="R26" s="53" t="s">
        <v>52</v>
      </c>
      <c r="S26" s="53"/>
      <c r="T26" s="53"/>
      <c r="U26" s="53"/>
      <c r="V26" s="53" t="s">
        <v>52</v>
      </c>
      <c r="W26" s="53" t="s">
        <v>52</v>
      </c>
      <c r="X26" s="53"/>
      <c r="Y26" s="63">
        <f t="shared" si="0"/>
        <v>6</v>
      </c>
      <c r="Z26" s="64">
        <f t="shared" si="1"/>
        <v>0.2608695652173913</v>
      </c>
    </row>
    <row r="27" spans="1:26" ht="15.75">
      <c r="A27" s="52" t="s">
        <v>27</v>
      </c>
      <c r="B27" s="53" t="s">
        <v>52</v>
      </c>
      <c r="C27" s="53"/>
      <c r="D27" s="53"/>
      <c r="E27" s="53"/>
      <c r="F27" s="53" t="s">
        <v>52</v>
      </c>
      <c r="G27" s="53"/>
      <c r="H27" s="53"/>
      <c r="I27" s="53"/>
      <c r="J27" s="53" t="s">
        <v>52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63">
        <f t="shared" si="0"/>
        <v>3</v>
      </c>
      <c r="Z27" s="64">
        <f t="shared" si="1"/>
        <v>0.13043478260869565</v>
      </c>
    </row>
    <row r="28" spans="1:26" ht="15.75">
      <c r="A28" s="24"/>
      <c r="B28" s="65">
        <f t="shared" ref="B28:X28" si="2">COUNTIF(B2:B27,"=X")</f>
        <v>4</v>
      </c>
      <c r="C28" s="65">
        <f t="shared" si="2"/>
        <v>1</v>
      </c>
      <c r="D28" s="65">
        <f t="shared" si="2"/>
        <v>5</v>
      </c>
      <c r="E28" s="65">
        <f t="shared" si="2"/>
        <v>3</v>
      </c>
      <c r="F28" s="65">
        <f t="shared" si="2"/>
        <v>2</v>
      </c>
      <c r="G28" s="65">
        <f t="shared" si="2"/>
        <v>2</v>
      </c>
      <c r="H28" s="65">
        <f t="shared" si="2"/>
        <v>3</v>
      </c>
      <c r="I28" s="65">
        <f t="shared" si="2"/>
        <v>2</v>
      </c>
      <c r="J28" s="65">
        <f t="shared" si="2"/>
        <v>24</v>
      </c>
      <c r="K28" s="65">
        <f t="shared" si="2"/>
        <v>1</v>
      </c>
      <c r="L28" s="65">
        <f t="shared" si="2"/>
        <v>15</v>
      </c>
      <c r="M28" s="65">
        <f t="shared" si="2"/>
        <v>1</v>
      </c>
      <c r="N28" s="65">
        <f t="shared" si="2"/>
        <v>10</v>
      </c>
      <c r="O28" s="65">
        <f t="shared" si="2"/>
        <v>1</v>
      </c>
      <c r="P28" s="65">
        <f t="shared" si="2"/>
        <v>1</v>
      </c>
      <c r="Q28" s="65">
        <f t="shared" si="2"/>
        <v>1</v>
      </c>
      <c r="R28" s="65">
        <f t="shared" si="2"/>
        <v>1</v>
      </c>
      <c r="S28" s="65">
        <f t="shared" si="2"/>
        <v>1</v>
      </c>
      <c r="T28" s="65">
        <f t="shared" si="2"/>
        <v>1</v>
      </c>
      <c r="U28" s="65">
        <f t="shared" si="2"/>
        <v>1</v>
      </c>
      <c r="V28" s="65">
        <f t="shared" si="2"/>
        <v>1</v>
      </c>
      <c r="W28" s="65">
        <f t="shared" si="2"/>
        <v>1</v>
      </c>
      <c r="X28" s="65">
        <f t="shared" si="2"/>
        <v>1</v>
      </c>
    </row>
    <row r="29" spans="1:26" ht="15.75">
      <c r="A29" s="24"/>
      <c r="B29" s="62">
        <f>COUNTIF(B2:B27,"=X")/26</f>
        <v>0.15384615384615385</v>
      </c>
      <c r="C29" s="62">
        <f t="shared" ref="C29:X29" si="3">COUNTIF(C2:C27,"=X")/26</f>
        <v>3.8461538461538464E-2</v>
      </c>
      <c r="D29" s="62">
        <f t="shared" si="3"/>
        <v>0.19230769230769232</v>
      </c>
      <c r="E29" s="62">
        <f t="shared" si="3"/>
        <v>0.11538461538461539</v>
      </c>
      <c r="F29" s="62">
        <f t="shared" si="3"/>
        <v>7.6923076923076927E-2</v>
      </c>
      <c r="G29" s="62">
        <f t="shared" si="3"/>
        <v>7.6923076923076927E-2</v>
      </c>
      <c r="H29" s="62">
        <f t="shared" si="3"/>
        <v>0.11538461538461539</v>
      </c>
      <c r="I29" s="62">
        <f t="shared" si="3"/>
        <v>7.6923076923076927E-2</v>
      </c>
      <c r="J29" s="62">
        <f t="shared" si="3"/>
        <v>0.92307692307692313</v>
      </c>
      <c r="K29" s="62">
        <f t="shared" si="3"/>
        <v>3.8461538461538464E-2</v>
      </c>
      <c r="L29" s="62">
        <f t="shared" si="3"/>
        <v>0.57692307692307687</v>
      </c>
      <c r="M29" s="62">
        <f t="shared" si="3"/>
        <v>3.8461538461538464E-2</v>
      </c>
      <c r="N29" s="62">
        <f t="shared" si="3"/>
        <v>0.38461538461538464</v>
      </c>
      <c r="O29" s="62">
        <f t="shared" si="3"/>
        <v>3.8461538461538464E-2</v>
      </c>
      <c r="P29" s="62">
        <f t="shared" si="3"/>
        <v>3.8461538461538464E-2</v>
      </c>
      <c r="Q29" s="62">
        <f t="shared" si="3"/>
        <v>3.8461538461538464E-2</v>
      </c>
      <c r="R29" s="62">
        <f t="shared" si="3"/>
        <v>3.8461538461538464E-2</v>
      </c>
      <c r="S29" s="62">
        <f t="shared" si="3"/>
        <v>3.8461538461538464E-2</v>
      </c>
      <c r="T29" s="62">
        <f t="shared" si="3"/>
        <v>3.8461538461538464E-2</v>
      </c>
      <c r="U29" s="62">
        <f t="shared" si="3"/>
        <v>3.8461538461538464E-2</v>
      </c>
      <c r="V29" s="62">
        <f t="shared" si="3"/>
        <v>3.8461538461538464E-2</v>
      </c>
      <c r="W29" s="62">
        <f t="shared" si="3"/>
        <v>3.8461538461538464E-2</v>
      </c>
      <c r="X29" s="62">
        <f t="shared" si="3"/>
        <v>3.8461538461538464E-2</v>
      </c>
    </row>
    <row r="30" spans="1:26" s="55" customFormat="1" ht="15.7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</row>
    <row r="31" spans="1:26" s="55" customFormat="1" ht="15.7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  <row r="33" spans="1:23" ht="15.75">
      <c r="A33" s="56" t="s">
        <v>28</v>
      </c>
      <c r="B33" s="56" t="s">
        <v>53</v>
      </c>
      <c r="C33" s="56" t="s">
        <v>54</v>
      </c>
      <c r="D33" s="56" t="s">
        <v>55</v>
      </c>
      <c r="E33" s="56" t="s">
        <v>56</v>
      </c>
      <c r="F33" s="56" t="s">
        <v>57</v>
      </c>
      <c r="G33" s="56" t="s">
        <v>58</v>
      </c>
      <c r="H33" s="56" t="s">
        <v>59</v>
      </c>
      <c r="I33" s="56" t="s">
        <v>46</v>
      </c>
      <c r="J33" s="56" t="s">
        <v>60</v>
      </c>
      <c r="K33" s="56" t="s">
        <v>41</v>
      </c>
      <c r="L33" s="56" t="s">
        <v>61</v>
      </c>
      <c r="M33" s="56" t="s">
        <v>62</v>
      </c>
    </row>
    <row r="34" spans="1:23" ht="15.75">
      <c r="A34" s="50" t="s">
        <v>2</v>
      </c>
      <c r="B34" s="57" t="str">
        <f t="shared" ref="B34:B59" si="4">IF(COUNTA(M2)&gt;0,"X","")</f>
        <v/>
      </c>
      <c r="C34" s="57" t="str">
        <f t="shared" ref="C34:C59" si="5">IF(COUNTA(C2,E2,G2,R2,S2,V2)&gt;0,"X","")</f>
        <v/>
      </c>
      <c r="D34" s="57" t="str">
        <f>IF(COUNTA(K2,T2)&gt;0,"X","")</f>
        <v>X</v>
      </c>
      <c r="E34" s="57" t="str">
        <f t="shared" ref="E34:E59" si="6">IF(COUNTA(O2,W2)&gt;0,"X","")</f>
        <v/>
      </c>
      <c r="F34" s="57" t="str">
        <f t="shared" ref="F34:F59" si="7">IF(COUNTA(G2)&gt;0,"X","")</f>
        <v/>
      </c>
      <c r="G34" s="58"/>
      <c r="H34" s="57" t="str">
        <f t="shared" ref="H34:H59" si="8">IF(COUNTA(H2,I2)&gt;0,"X","")</f>
        <v>X</v>
      </c>
      <c r="I34" s="57" t="str">
        <f t="shared" ref="I34:I59" si="9">IF(COUNTA(E2,S2)&gt;0,"X","")</f>
        <v/>
      </c>
      <c r="J34" s="57" t="str">
        <f t="shared" ref="J34:J59" si="10">IF(COUNTA(C2,V2,X2)&gt;0,"X","")</f>
        <v/>
      </c>
      <c r="K34" s="57" t="str">
        <f t="shared" ref="K34:K59" si="11">IF(COUNTA(N2,L2,J2)&gt;0,"X","")</f>
        <v>X</v>
      </c>
      <c r="L34" s="58"/>
      <c r="M34" s="57" t="str">
        <f t="shared" ref="M34:M59" si="12">IF(COUNTA(P2)&gt;0,"X","")</f>
        <v/>
      </c>
      <c r="N34" s="63">
        <f>COUNTIF(B34:M34,"=X")</f>
        <v>3</v>
      </c>
      <c r="O34" s="64">
        <f>COUNTIF(B34:M34,"=X")/12</f>
        <v>0.25</v>
      </c>
      <c r="Q34" s="70" t="s">
        <v>63</v>
      </c>
      <c r="R34" s="71"/>
      <c r="S34" s="72"/>
    </row>
    <row r="35" spans="1:23" ht="15.75" customHeight="1">
      <c r="A35" s="50" t="s">
        <v>3</v>
      </c>
      <c r="B35" s="57" t="str">
        <f t="shared" si="4"/>
        <v>X</v>
      </c>
      <c r="C35" s="57" t="str">
        <f t="shared" si="5"/>
        <v>X</v>
      </c>
      <c r="D35" s="57" t="str">
        <f>IF(COUNTA(D3,F3,H3,S3,T3,W3)&gt;0,"X","")</f>
        <v>X</v>
      </c>
      <c r="E35" s="57" t="str">
        <f t="shared" si="6"/>
        <v/>
      </c>
      <c r="F35" s="57" t="str">
        <f t="shared" si="7"/>
        <v/>
      </c>
      <c r="G35" s="58"/>
      <c r="H35" s="57" t="str">
        <f t="shared" si="8"/>
        <v>X</v>
      </c>
      <c r="I35" s="57" t="str">
        <f t="shared" si="9"/>
        <v>X</v>
      </c>
      <c r="J35" s="57" t="str">
        <f t="shared" si="10"/>
        <v>X</v>
      </c>
      <c r="K35" s="57" t="str">
        <f t="shared" si="11"/>
        <v>X</v>
      </c>
      <c r="L35" s="58"/>
      <c r="M35" s="57" t="str">
        <f t="shared" si="12"/>
        <v>X</v>
      </c>
      <c r="N35" s="63">
        <f t="shared" ref="N35:N59" si="13">COUNTIF(B35:M35,"=X")</f>
        <v>8</v>
      </c>
      <c r="O35" s="64">
        <f t="shared" ref="O35:O59" si="14">COUNTIF(B35:M35,"=X")/12</f>
        <v>0.66666666666666663</v>
      </c>
      <c r="Q35" s="73" t="s">
        <v>64</v>
      </c>
      <c r="R35" s="74"/>
      <c r="S35" s="75"/>
    </row>
    <row r="36" spans="1:23" ht="15.75">
      <c r="A36" s="50" t="s">
        <v>4</v>
      </c>
      <c r="B36" s="57" t="str">
        <f t="shared" si="4"/>
        <v/>
      </c>
      <c r="C36" s="57" t="str">
        <f t="shared" si="5"/>
        <v>X</v>
      </c>
      <c r="D36" s="57" t="str">
        <f t="shared" ref="D36:D59" si="15">IF(COUNTA(K4,T4)&gt;0,"X","")</f>
        <v/>
      </c>
      <c r="E36" s="57" t="str">
        <f t="shared" si="6"/>
        <v/>
      </c>
      <c r="F36" s="57" t="str">
        <f t="shared" si="7"/>
        <v/>
      </c>
      <c r="G36" s="58"/>
      <c r="H36" s="57" t="str">
        <f t="shared" si="8"/>
        <v/>
      </c>
      <c r="I36" s="57" t="str">
        <f t="shared" si="9"/>
        <v>X</v>
      </c>
      <c r="J36" s="57" t="str">
        <f t="shared" si="10"/>
        <v/>
      </c>
      <c r="K36" s="57" t="str">
        <f t="shared" si="11"/>
        <v>X</v>
      </c>
      <c r="L36" s="58"/>
      <c r="M36" s="57" t="str">
        <f t="shared" si="12"/>
        <v/>
      </c>
      <c r="N36" s="63">
        <f t="shared" si="13"/>
        <v>3</v>
      </c>
      <c r="O36" s="64">
        <f t="shared" si="14"/>
        <v>0.25</v>
      </c>
      <c r="Q36" s="59"/>
      <c r="R36" s="59"/>
      <c r="S36" s="59"/>
    </row>
    <row r="37" spans="1:23" ht="15.75">
      <c r="A37" s="50" t="s">
        <v>5</v>
      </c>
      <c r="B37" s="57" t="str">
        <f t="shared" si="4"/>
        <v/>
      </c>
      <c r="C37" s="57" t="str">
        <f t="shared" si="5"/>
        <v/>
      </c>
      <c r="D37" s="57" t="str">
        <f t="shared" si="15"/>
        <v/>
      </c>
      <c r="E37" s="57" t="str">
        <f t="shared" si="6"/>
        <v/>
      </c>
      <c r="F37" s="57" t="str">
        <f t="shared" si="7"/>
        <v/>
      </c>
      <c r="G37" s="58"/>
      <c r="H37" s="57" t="str">
        <f t="shared" si="8"/>
        <v/>
      </c>
      <c r="I37" s="57" t="str">
        <f t="shared" si="9"/>
        <v/>
      </c>
      <c r="J37" s="57" t="str">
        <f t="shared" si="10"/>
        <v/>
      </c>
      <c r="K37" s="57" t="str">
        <f t="shared" si="11"/>
        <v>X</v>
      </c>
      <c r="L37" s="58"/>
      <c r="M37" s="57" t="str">
        <f t="shared" si="12"/>
        <v/>
      </c>
      <c r="N37" s="63">
        <f t="shared" si="13"/>
        <v>1</v>
      </c>
      <c r="O37" s="64">
        <f t="shared" si="14"/>
        <v>8.3333333333333329E-2</v>
      </c>
      <c r="Q37" s="60" t="str" cm="1">
        <f t="array" ref="Q37:Q48">TRANSPOSE(B33:M33)</f>
        <v>Area</v>
      </c>
      <c r="R37" s="58" t="s">
        <v>40</v>
      </c>
      <c r="S37" s="58"/>
      <c r="T37" s="58"/>
      <c r="U37" s="58"/>
      <c r="V37" s="58"/>
      <c r="W37" s="58"/>
    </row>
    <row r="38" spans="1:23" ht="15.75">
      <c r="A38" s="50" t="s">
        <v>6</v>
      </c>
      <c r="B38" s="57" t="str">
        <f t="shared" si="4"/>
        <v/>
      </c>
      <c r="C38" s="57" t="str">
        <f t="shared" si="5"/>
        <v/>
      </c>
      <c r="D38" s="57" t="str">
        <f t="shared" si="15"/>
        <v/>
      </c>
      <c r="E38" s="57" t="str">
        <f t="shared" si="6"/>
        <v/>
      </c>
      <c r="F38" s="57" t="str">
        <f t="shared" si="7"/>
        <v/>
      </c>
      <c r="G38" s="58"/>
      <c r="H38" s="57" t="str">
        <f t="shared" si="8"/>
        <v>X</v>
      </c>
      <c r="I38" s="57" t="str">
        <f t="shared" si="9"/>
        <v/>
      </c>
      <c r="J38" s="57" t="str">
        <f t="shared" si="10"/>
        <v/>
      </c>
      <c r="K38" s="57" t="str">
        <f t="shared" si="11"/>
        <v>X</v>
      </c>
      <c r="L38" s="58"/>
      <c r="M38" s="57" t="str">
        <f t="shared" si="12"/>
        <v/>
      </c>
      <c r="N38" s="63">
        <f t="shared" si="13"/>
        <v>2</v>
      </c>
      <c r="O38" s="64">
        <f t="shared" si="14"/>
        <v>0.16666666666666666</v>
      </c>
      <c r="Q38" s="60" t="str">
        <v>Bar</v>
      </c>
      <c r="R38" s="58" t="s">
        <v>29</v>
      </c>
      <c r="S38" s="58" t="s">
        <v>31</v>
      </c>
      <c r="T38" s="58" t="s">
        <v>33</v>
      </c>
      <c r="U38" s="58" t="s">
        <v>44</v>
      </c>
      <c r="V38" s="58" t="s">
        <v>65</v>
      </c>
      <c r="W38" s="58" t="s">
        <v>48</v>
      </c>
    </row>
    <row r="39" spans="1:23" ht="15.75">
      <c r="A39" s="50" t="s">
        <v>7</v>
      </c>
      <c r="B39" s="57" t="str">
        <f t="shared" si="4"/>
        <v/>
      </c>
      <c r="C39" s="57" t="str">
        <f t="shared" si="5"/>
        <v/>
      </c>
      <c r="D39" s="57" t="str">
        <f t="shared" si="15"/>
        <v/>
      </c>
      <c r="E39" s="57" t="str">
        <f t="shared" si="6"/>
        <v/>
      </c>
      <c r="F39" s="57" t="str">
        <f t="shared" si="7"/>
        <v/>
      </c>
      <c r="G39" s="58"/>
      <c r="H39" s="57" t="str">
        <f t="shared" si="8"/>
        <v/>
      </c>
      <c r="I39" s="57" t="str">
        <f t="shared" si="9"/>
        <v/>
      </c>
      <c r="J39" s="57" t="str">
        <f t="shared" si="10"/>
        <v/>
      </c>
      <c r="K39" s="57" t="str">
        <f t="shared" si="11"/>
        <v>X</v>
      </c>
      <c r="L39" s="58"/>
      <c r="M39" s="57" t="str">
        <f t="shared" si="12"/>
        <v/>
      </c>
      <c r="N39" s="63">
        <f t="shared" si="13"/>
        <v>1</v>
      </c>
      <c r="O39" s="64">
        <f t="shared" si="14"/>
        <v>8.3333333333333329E-2</v>
      </c>
      <c r="Q39" s="60" t="str">
        <v>Circle</v>
      </c>
      <c r="R39" s="58" t="s">
        <v>38</v>
      </c>
      <c r="S39" s="58" t="s">
        <v>47</v>
      </c>
      <c r="T39" s="58"/>
      <c r="U39" s="58"/>
      <c r="V39" s="58"/>
      <c r="W39" s="58"/>
    </row>
    <row r="40" spans="1:23" ht="15.75">
      <c r="A40" s="50" t="s">
        <v>8</v>
      </c>
      <c r="B40" s="57" t="str">
        <f t="shared" si="4"/>
        <v/>
      </c>
      <c r="C40" s="57" t="str">
        <f t="shared" si="5"/>
        <v/>
      </c>
      <c r="D40" s="57" t="str">
        <f t="shared" si="15"/>
        <v/>
      </c>
      <c r="E40" s="57" t="str">
        <f t="shared" si="6"/>
        <v/>
      </c>
      <c r="F40" s="57" t="str">
        <f t="shared" si="7"/>
        <v/>
      </c>
      <c r="G40" s="58"/>
      <c r="H40" s="57" t="str">
        <f t="shared" si="8"/>
        <v/>
      </c>
      <c r="I40" s="57" t="str">
        <f t="shared" si="9"/>
        <v/>
      </c>
      <c r="J40" s="57" t="str">
        <f t="shared" si="10"/>
        <v/>
      </c>
      <c r="K40" s="57" t="str">
        <f t="shared" si="11"/>
        <v>X</v>
      </c>
      <c r="L40" s="58"/>
      <c r="M40" s="57" t="str">
        <f t="shared" si="12"/>
        <v/>
      </c>
      <c r="N40" s="63">
        <f t="shared" si="13"/>
        <v>1</v>
      </c>
      <c r="O40" s="64">
        <f t="shared" si="14"/>
        <v>8.3333333333333329E-2</v>
      </c>
      <c r="Q40" s="60" t="str">
        <v>Diagram</v>
      </c>
      <c r="R40" s="58" t="s">
        <v>42</v>
      </c>
      <c r="S40" s="58" t="s">
        <v>50</v>
      </c>
      <c r="T40" s="58"/>
      <c r="U40" s="58"/>
      <c r="V40" s="58"/>
      <c r="W40" s="58"/>
    </row>
    <row r="41" spans="1:23" ht="15.75">
      <c r="A41" s="50" t="s">
        <v>9</v>
      </c>
      <c r="B41" s="57" t="str">
        <f t="shared" si="4"/>
        <v/>
      </c>
      <c r="C41" s="57" t="str">
        <f t="shared" si="5"/>
        <v/>
      </c>
      <c r="D41" s="57" t="str">
        <f t="shared" si="15"/>
        <v/>
      </c>
      <c r="E41" s="57" t="str">
        <f t="shared" si="6"/>
        <v/>
      </c>
      <c r="F41" s="57" t="str">
        <f t="shared" si="7"/>
        <v/>
      </c>
      <c r="G41" s="58"/>
      <c r="H41" s="57" t="str">
        <f t="shared" si="8"/>
        <v/>
      </c>
      <c r="I41" s="57" t="str">
        <f t="shared" si="9"/>
        <v/>
      </c>
      <c r="J41" s="57" t="str">
        <f t="shared" si="10"/>
        <v/>
      </c>
      <c r="K41" s="57" t="str">
        <f t="shared" si="11"/>
        <v>X</v>
      </c>
      <c r="L41" s="58"/>
      <c r="M41" s="57" t="str">
        <f t="shared" si="12"/>
        <v/>
      </c>
      <c r="N41" s="63">
        <f t="shared" si="13"/>
        <v>1</v>
      </c>
      <c r="O41" s="64">
        <f t="shared" si="14"/>
        <v>8.3333333333333329E-2</v>
      </c>
      <c r="Q41" s="60" t="str">
        <v>Distribution</v>
      </c>
      <c r="R41" s="58" t="s">
        <v>34</v>
      </c>
      <c r="S41" s="58"/>
      <c r="T41" s="58"/>
      <c r="U41" s="58"/>
      <c r="V41" s="58"/>
      <c r="W41" s="58"/>
    </row>
    <row r="42" spans="1:23" ht="15.75">
      <c r="A42" s="50" t="s">
        <v>10</v>
      </c>
      <c r="B42" s="57" t="str">
        <f t="shared" si="4"/>
        <v/>
      </c>
      <c r="C42" s="57" t="str">
        <f t="shared" si="5"/>
        <v/>
      </c>
      <c r="D42" s="57" t="str">
        <f t="shared" si="15"/>
        <v/>
      </c>
      <c r="E42" s="57" t="str">
        <f t="shared" si="6"/>
        <v/>
      </c>
      <c r="F42" s="57" t="str">
        <f t="shared" si="7"/>
        <v/>
      </c>
      <c r="G42" s="58"/>
      <c r="H42" s="57" t="str">
        <f t="shared" si="8"/>
        <v/>
      </c>
      <c r="I42" s="57" t="str">
        <f t="shared" si="9"/>
        <v/>
      </c>
      <c r="J42" s="57" t="str">
        <f t="shared" si="10"/>
        <v/>
      </c>
      <c r="K42" s="57" t="str">
        <f t="shared" si="11"/>
        <v>X</v>
      </c>
      <c r="L42" s="58"/>
      <c r="M42" s="57" t="str">
        <f t="shared" si="12"/>
        <v/>
      </c>
      <c r="N42" s="63">
        <f t="shared" si="13"/>
        <v>1</v>
      </c>
      <c r="O42" s="64">
        <f t="shared" si="14"/>
        <v>8.3333333333333329E-2</v>
      </c>
      <c r="Q42" s="60" t="str">
        <v>Grid &amp; Matrix</v>
      </c>
      <c r="R42" s="58"/>
      <c r="S42" s="58"/>
      <c r="T42" s="58"/>
      <c r="U42" s="58"/>
      <c r="V42" s="58"/>
      <c r="W42" s="58"/>
    </row>
    <row r="43" spans="1:23" ht="15.75">
      <c r="A43" s="50" t="s">
        <v>11</v>
      </c>
      <c r="B43" s="57" t="str">
        <f t="shared" si="4"/>
        <v/>
      </c>
      <c r="C43" s="57" t="str">
        <f t="shared" si="5"/>
        <v/>
      </c>
      <c r="D43" s="57" t="str">
        <f t="shared" si="15"/>
        <v/>
      </c>
      <c r="E43" s="57" t="str">
        <f t="shared" si="6"/>
        <v/>
      </c>
      <c r="F43" s="57" t="str">
        <f t="shared" si="7"/>
        <v/>
      </c>
      <c r="G43" s="58"/>
      <c r="H43" s="57" t="str">
        <f t="shared" si="8"/>
        <v/>
      </c>
      <c r="I43" s="57" t="str">
        <f t="shared" si="9"/>
        <v/>
      </c>
      <c r="J43" s="57" t="str">
        <f t="shared" si="10"/>
        <v/>
      </c>
      <c r="K43" s="57" t="str">
        <f t="shared" si="11"/>
        <v>X</v>
      </c>
      <c r="L43" s="58"/>
      <c r="M43" s="57" t="str">
        <f t="shared" si="12"/>
        <v/>
      </c>
      <c r="N43" s="63">
        <f t="shared" si="13"/>
        <v>1</v>
      </c>
      <c r="O43" s="64">
        <f t="shared" si="14"/>
        <v>8.3333333333333329E-2</v>
      </c>
      <c r="Q43" s="60" t="str">
        <v>Line</v>
      </c>
      <c r="R43" s="58" t="s">
        <v>35</v>
      </c>
      <c r="S43" s="58" t="s">
        <v>36</v>
      </c>
      <c r="T43" s="58"/>
      <c r="U43" s="58"/>
      <c r="V43" s="58"/>
      <c r="W43" s="58"/>
    </row>
    <row r="44" spans="1:23" ht="15.75">
      <c r="A44" s="50" t="s">
        <v>12</v>
      </c>
      <c r="B44" s="57" t="str">
        <f t="shared" si="4"/>
        <v/>
      </c>
      <c r="C44" s="57" t="str">
        <f t="shared" si="5"/>
        <v/>
      </c>
      <c r="D44" s="57" t="str">
        <f t="shared" si="15"/>
        <v/>
      </c>
      <c r="E44" s="57" t="str">
        <f t="shared" si="6"/>
        <v/>
      </c>
      <c r="F44" s="57" t="str">
        <f t="shared" si="7"/>
        <v/>
      </c>
      <c r="G44" s="58"/>
      <c r="H44" s="57" t="str">
        <f t="shared" si="8"/>
        <v/>
      </c>
      <c r="I44" s="57" t="str">
        <f t="shared" si="9"/>
        <v/>
      </c>
      <c r="J44" s="57" t="str">
        <f t="shared" si="10"/>
        <v/>
      </c>
      <c r="K44" s="57" t="str">
        <f t="shared" si="11"/>
        <v>X</v>
      </c>
      <c r="L44" s="58"/>
      <c r="M44" s="57" t="str">
        <f t="shared" si="12"/>
        <v/>
      </c>
      <c r="N44" s="63">
        <f t="shared" si="13"/>
        <v>1</v>
      </c>
      <c r="O44" s="64">
        <f t="shared" si="14"/>
        <v>8.3333333333333329E-2</v>
      </c>
      <c r="Q44" s="60" t="str">
        <v>Map</v>
      </c>
      <c r="R44" s="58" t="s">
        <v>46</v>
      </c>
      <c r="S44" s="58" t="s">
        <v>32</v>
      </c>
      <c r="T44" s="58"/>
      <c r="U44" s="58"/>
      <c r="V44" s="58"/>
      <c r="W44" s="58"/>
    </row>
    <row r="45" spans="1:23" ht="15.75">
      <c r="A45" s="50" t="s">
        <v>13</v>
      </c>
      <c r="B45" s="57" t="str">
        <f t="shared" si="4"/>
        <v/>
      </c>
      <c r="C45" s="57" t="str">
        <f t="shared" si="5"/>
        <v/>
      </c>
      <c r="D45" s="57" t="str">
        <f t="shared" si="15"/>
        <v/>
      </c>
      <c r="E45" s="57" t="str">
        <f t="shared" si="6"/>
        <v/>
      </c>
      <c r="F45" s="57" t="str">
        <f t="shared" si="7"/>
        <v/>
      </c>
      <c r="G45" s="58"/>
      <c r="H45" s="57" t="str">
        <f t="shared" si="8"/>
        <v/>
      </c>
      <c r="I45" s="57" t="str">
        <f t="shared" si="9"/>
        <v/>
      </c>
      <c r="J45" s="57" t="str">
        <f t="shared" si="10"/>
        <v/>
      </c>
      <c r="K45" s="57" t="str">
        <f t="shared" si="11"/>
        <v>X</v>
      </c>
      <c r="L45" s="58"/>
      <c r="M45" s="57" t="str">
        <f t="shared" si="12"/>
        <v/>
      </c>
      <c r="N45" s="63">
        <f t="shared" si="13"/>
        <v>1</v>
      </c>
      <c r="O45" s="64">
        <f t="shared" si="14"/>
        <v>8.3333333333333329E-2</v>
      </c>
      <c r="Q45" s="60" t="str">
        <v>Point</v>
      </c>
      <c r="R45" s="58" t="s">
        <v>51</v>
      </c>
      <c r="S45" s="58" t="s">
        <v>30</v>
      </c>
      <c r="T45" s="58" t="s">
        <v>66</v>
      </c>
      <c r="U45" s="58"/>
      <c r="V45" s="58"/>
      <c r="W45" s="58"/>
    </row>
    <row r="46" spans="1:23" ht="15.75">
      <c r="A46" s="50" t="s">
        <v>14</v>
      </c>
      <c r="B46" s="57" t="str">
        <f t="shared" si="4"/>
        <v/>
      </c>
      <c r="C46" s="57" t="str">
        <f t="shared" si="5"/>
        <v/>
      </c>
      <c r="D46" s="57" t="str">
        <f t="shared" si="15"/>
        <v/>
      </c>
      <c r="E46" s="57" t="str">
        <f t="shared" si="6"/>
        <v/>
      </c>
      <c r="F46" s="57" t="str">
        <f t="shared" si="7"/>
        <v/>
      </c>
      <c r="G46" s="58"/>
      <c r="H46" s="57" t="str">
        <f t="shared" si="8"/>
        <v/>
      </c>
      <c r="I46" s="57" t="str">
        <f t="shared" si="9"/>
        <v/>
      </c>
      <c r="J46" s="57" t="str">
        <f t="shared" si="10"/>
        <v/>
      </c>
      <c r="K46" s="57" t="str">
        <f t="shared" si="11"/>
        <v>X</v>
      </c>
      <c r="L46" s="58"/>
      <c r="M46" s="57" t="str">
        <f t="shared" si="12"/>
        <v/>
      </c>
      <c r="N46" s="63">
        <f t="shared" si="13"/>
        <v>1</v>
      </c>
      <c r="O46" s="64">
        <f t="shared" si="14"/>
        <v>8.3333333333333329E-2</v>
      </c>
      <c r="Q46" s="60" t="str">
        <v>Table</v>
      </c>
      <c r="R46" s="58" t="s">
        <v>41</v>
      </c>
      <c r="S46" s="58" t="s">
        <v>39</v>
      </c>
      <c r="T46" s="58" t="s">
        <v>37</v>
      </c>
      <c r="U46" s="58"/>
      <c r="V46" s="58"/>
      <c r="W46" s="58"/>
    </row>
    <row r="47" spans="1:23" ht="15.75">
      <c r="A47" s="50" t="s">
        <v>15</v>
      </c>
      <c r="B47" s="57" t="str">
        <f t="shared" si="4"/>
        <v/>
      </c>
      <c r="C47" s="57" t="str">
        <f t="shared" si="5"/>
        <v/>
      </c>
      <c r="D47" s="57" t="str">
        <f t="shared" si="15"/>
        <v/>
      </c>
      <c r="E47" s="57" t="str">
        <f t="shared" si="6"/>
        <v/>
      </c>
      <c r="F47" s="57" t="str">
        <f t="shared" si="7"/>
        <v/>
      </c>
      <c r="G47" s="58"/>
      <c r="H47" s="57" t="str">
        <f t="shared" si="8"/>
        <v/>
      </c>
      <c r="I47" s="57" t="str">
        <f t="shared" si="9"/>
        <v/>
      </c>
      <c r="J47" s="57" t="str">
        <f t="shared" si="10"/>
        <v/>
      </c>
      <c r="K47" s="57" t="str">
        <f t="shared" si="11"/>
        <v>X</v>
      </c>
      <c r="L47" s="58"/>
      <c r="M47" s="57" t="str">
        <f t="shared" si="12"/>
        <v/>
      </c>
      <c r="N47" s="63">
        <f t="shared" si="13"/>
        <v>1</v>
      </c>
      <c r="O47" s="64">
        <f t="shared" si="14"/>
        <v>8.3333333333333329E-2</v>
      </c>
      <c r="Q47" s="60" t="str">
        <v>Text</v>
      </c>
      <c r="R47" s="58"/>
      <c r="S47" s="58"/>
      <c r="T47" s="58"/>
      <c r="U47" s="58"/>
      <c r="V47" s="58"/>
      <c r="W47" s="58"/>
    </row>
    <row r="48" spans="1:23" ht="15.75">
      <c r="A48" s="50" t="s">
        <v>16</v>
      </c>
      <c r="B48" s="57" t="str">
        <f t="shared" si="4"/>
        <v/>
      </c>
      <c r="C48" s="57" t="str">
        <f t="shared" si="5"/>
        <v/>
      </c>
      <c r="D48" s="57" t="str">
        <f t="shared" si="15"/>
        <v/>
      </c>
      <c r="E48" s="57" t="str">
        <f t="shared" si="6"/>
        <v/>
      </c>
      <c r="F48" s="57" t="str">
        <f t="shared" si="7"/>
        <v/>
      </c>
      <c r="G48" s="58"/>
      <c r="H48" s="57" t="str">
        <f t="shared" si="8"/>
        <v/>
      </c>
      <c r="I48" s="57" t="str">
        <f t="shared" si="9"/>
        <v/>
      </c>
      <c r="J48" s="57" t="str">
        <f t="shared" si="10"/>
        <v/>
      </c>
      <c r="K48" s="57" t="str">
        <f t="shared" si="11"/>
        <v>X</v>
      </c>
      <c r="L48" s="58"/>
      <c r="M48" s="57" t="str">
        <f t="shared" si="12"/>
        <v/>
      </c>
      <c r="N48" s="63">
        <f t="shared" si="13"/>
        <v>1</v>
      </c>
      <c r="O48" s="64">
        <f t="shared" si="14"/>
        <v>8.3333333333333329E-2</v>
      </c>
      <c r="Q48" s="60" t="str">
        <v>Trees &amp; Networks</v>
      </c>
      <c r="R48" s="58" t="s">
        <v>43</v>
      </c>
      <c r="S48" s="58"/>
      <c r="T48" s="58"/>
      <c r="U48" s="58"/>
      <c r="V48" s="58"/>
      <c r="W48" s="58"/>
    </row>
    <row r="49" spans="1:18" ht="15.75">
      <c r="A49" s="50" t="s">
        <v>17</v>
      </c>
      <c r="B49" s="57" t="str">
        <f t="shared" si="4"/>
        <v/>
      </c>
      <c r="C49" s="57" t="str">
        <f t="shared" si="5"/>
        <v/>
      </c>
      <c r="D49" s="57" t="str">
        <f t="shared" si="15"/>
        <v/>
      </c>
      <c r="E49" s="57" t="str">
        <f t="shared" si="6"/>
        <v/>
      </c>
      <c r="F49" s="57" t="str">
        <f t="shared" si="7"/>
        <v/>
      </c>
      <c r="G49" s="58"/>
      <c r="H49" s="57" t="str">
        <f t="shared" si="8"/>
        <v/>
      </c>
      <c r="I49" s="57" t="str">
        <f t="shared" si="9"/>
        <v/>
      </c>
      <c r="J49" s="57" t="str">
        <f t="shared" si="10"/>
        <v/>
      </c>
      <c r="K49" s="57" t="str">
        <f t="shared" si="11"/>
        <v>X</v>
      </c>
      <c r="L49" s="58"/>
      <c r="M49" s="57" t="str">
        <f t="shared" si="12"/>
        <v/>
      </c>
      <c r="N49" s="63">
        <f t="shared" si="13"/>
        <v>1</v>
      </c>
      <c r="O49" s="64">
        <f t="shared" si="14"/>
        <v>8.3333333333333329E-2</v>
      </c>
    </row>
    <row r="50" spans="1:18" ht="15.75">
      <c r="A50" s="50" t="s">
        <v>18</v>
      </c>
      <c r="B50" s="57" t="str">
        <f t="shared" si="4"/>
        <v/>
      </c>
      <c r="C50" s="57" t="str">
        <f t="shared" si="5"/>
        <v>X</v>
      </c>
      <c r="D50" s="57" t="str">
        <f t="shared" si="15"/>
        <v/>
      </c>
      <c r="E50" s="57" t="str">
        <f t="shared" si="6"/>
        <v>X</v>
      </c>
      <c r="F50" s="57" t="str">
        <f t="shared" si="7"/>
        <v>X</v>
      </c>
      <c r="G50" s="58"/>
      <c r="H50" s="57" t="str">
        <f t="shared" si="8"/>
        <v/>
      </c>
      <c r="I50" s="57" t="str">
        <f t="shared" si="9"/>
        <v/>
      </c>
      <c r="J50" s="57" t="str">
        <f t="shared" si="10"/>
        <v/>
      </c>
      <c r="K50" s="57" t="str">
        <f t="shared" si="11"/>
        <v>X</v>
      </c>
      <c r="L50" s="58"/>
      <c r="M50" s="57" t="str">
        <f t="shared" si="12"/>
        <v/>
      </c>
      <c r="N50" s="63">
        <f t="shared" si="13"/>
        <v>4</v>
      </c>
      <c r="O50" s="64">
        <f t="shared" si="14"/>
        <v>0.33333333333333331</v>
      </c>
    </row>
    <row r="51" spans="1:18" ht="15.75">
      <c r="A51" s="50" t="s">
        <v>19</v>
      </c>
      <c r="B51" s="57" t="str">
        <f t="shared" si="4"/>
        <v/>
      </c>
      <c r="C51" s="57" t="str">
        <f t="shared" si="5"/>
        <v/>
      </c>
      <c r="D51" s="57" t="str">
        <f t="shared" si="15"/>
        <v/>
      </c>
      <c r="E51" s="57" t="str">
        <f t="shared" si="6"/>
        <v/>
      </c>
      <c r="F51" s="57" t="str">
        <f t="shared" si="7"/>
        <v/>
      </c>
      <c r="G51" s="58"/>
      <c r="H51" s="57" t="str">
        <f t="shared" si="8"/>
        <v/>
      </c>
      <c r="I51" s="57" t="str">
        <f t="shared" si="9"/>
        <v/>
      </c>
      <c r="J51" s="57" t="str">
        <f t="shared" si="10"/>
        <v/>
      </c>
      <c r="K51" s="57" t="str">
        <f t="shared" si="11"/>
        <v>X</v>
      </c>
      <c r="L51" s="58"/>
      <c r="M51" s="57" t="str">
        <f t="shared" si="12"/>
        <v/>
      </c>
      <c r="N51" s="63">
        <f t="shared" si="13"/>
        <v>1</v>
      </c>
      <c r="O51" s="64">
        <f t="shared" si="14"/>
        <v>8.3333333333333329E-2</v>
      </c>
    </row>
    <row r="52" spans="1:18" ht="15.75">
      <c r="A52" s="52" t="s">
        <v>20</v>
      </c>
      <c r="B52" s="57" t="str">
        <f t="shared" si="4"/>
        <v/>
      </c>
      <c r="C52" s="57" t="str">
        <f t="shared" si="5"/>
        <v/>
      </c>
      <c r="D52" s="57" t="str">
        <f t="shared" si="15"/>
        <v/>
      </c>
      <c r="E52" s="57" t="str">
        <f t="shared" si="6"/>
        <v/>
      </c>
      <c r="F52" s="57" t="str">
        <f t="shared" si="7"/>
        <v/>
      </c>
      <c r="G52" s="58"/>
      <c r="H52" s="57" t="str">
        <f t="shared" si="8"/>
        <v/>
      </c>
      <c r="I52" s="57" t="str">
        <f t="shared" si="9"/>
        <v/>
      </c>
      <c r="J52" s="57" t="str">
        <f t="shared" si="10"/>
        <v/>
      </c>
      <c r="K52" s="57" t="str">
        <f t="shared" si="11"/>
        <v>X</v>
      </c>
      <c r="L52" s="58"/>
      <c r="M52" s="57" t="str">
        <f t="shared" si="12"/>
        <v/>
      </c>
      <c r="N52" s="63">
        <f t="shared" si="13"/>
        <v>1</v>
      </c>
      <c r="O52" s="64">
        <f t="shared" si="14"/>
        <v>8.3333333333333329E-2</v>
      </c>
    </row>
    <row r="53" spans="1:18" ht="15.75">
      <c r="A53" s="52" t="s">
        <v>21</v>
      </c>
      <c r="B53" s="57" t="str">
        <f t="shared" si="4"/>
        <v/>
      </c>
      <c r="C53" s="57" t="str">
        <f t="shared" si="5"/>
        <v>X</v>
      </c>
      <c r="D53" s="57" t="str">
        <f t="shared" si="15"/>
        <v/>
      </c>
      <c r="E53" s="57" t="str">
        <f t="shared" si="6"/>
        <v/>
      </c>
      <c r="F53" s="57" t="str">
        <f t="shared" si="7"/>
        <v/>
      </c>
      <c r="G53" s="58"/>
      <c r="H53" s="57" t="str">
        <f t="shared" si="8"/>
        <v>X</v>
      </c>
      <c r="I53" s="57" t="str">
        <f t="shared" si="9"/>
        <v>X</v>
      </c>
      <c r="J53" s="57" t="str">
        <f t="shared" si="10"/>
        <v/>
      </c>
      <c r="K53" s="57" t="str">
        <f t="shared" si="11"/>
        <v>X</v>
      </c>
      <c r="L53" s="58"/>
      <c r="M53" s="57" t="str">
        <f t="shared" si="12"/>
        <v/>
      </c>
      <c r="N53" s="63">
        <f t="shared" si="13"/>
        <v>4</v>
      </c>
      <c r="O53" s="64">
        <f t="shared" si="14"/>
        <v>0.33333333333333331</v>
      </c>
      <c r="P53" s="59"/>
      <c r="Q53" s="59"/>
      <c r="R53" s="59"/>
    </row>
    <row r="54" spans="1:18" ht="15.75">
      <c r="A54" s="52" t="s">
        <v>22</v>
      </c>
      <c r="B54" s="57" t="str">
        <f t="shared" si="4"/>
        <v/>
      </c>
      <c r="C54" s="57" t="str">
        <f t="shared" si="5"/>
        <v/>
      </c>
      <c r="D54" s="57" t="str">
        <f t="shared" si="15"/>
        <v/>
      </c>
      <c r="E54" s="57" t="str">
        <f t="shared" si="6"/>
        <v/>
      </c>
      <c r="F54" s="57" t="str">
        <f t="shared" si="7"/>
        <v/>
      </c>
      <c r="G54" s="58"/>
      <c r="H54" s="57" t="str">
        <f t="shared" si="8"/>
        <v/>
      </c>
      <c r="I54" s="57" t="str">
        <f t="shared" si="9"/>
        <v/>
      </c>
      <c r="J54" s="57" t="str">
        <f t="shared" si="10"/>
        <v/>
      </c>
      <c r="K54" s="57" t="str">
        <f t="shared" si="11"/>
        <v>X</v>
      </c>
      <c r="L54" s="58"/>
      <c r="M54" s="57" t="str">
        <f t="shared" si="12"/>
        <v/>
      </c>
      <c r="N54" s="63">
        <f t="shared" si="13"/>
        <v>1</v>
      </c>
      <c r="O54" s="64">
        <f t="shared" si="14"/>
        <v>8.3333333333333329E-2</v>
      </c>
      <c r="P54" s="59"/>
      <c r="Q54" s="59"/>
      <c r="R54" s="59"/>
    </row>
    <row r="55" spans="1:18" ht="15.75">
      <c r="A55" s="52" t="s">
        <v>23</v>
      </c>
      <c r="B55" s="57" t="str">
        <f t="shared" si="4"/>
        <v/>
      </c>
      <c r="C55" s="57" t="str">
        <f t="shared" si="5"/>
        <v/>
      </c>
      <c r="D55" s="57" t="str">
        <f t="shared" si="15"/>
        <v>X</v>
      </c>
      <c r="E55" s="57" t="str">
        <f t="shared" si="6"/>
        <v/>
      </c>
      <c r="F55" s="57" t="str">
        <f t="shared" si="7"/>
        <v/>
      </c>
      <c r="G55" s="58"/>
      <c r="H55" s="57" t="str">
        <f t="shared" si="8"/>
        <v/>
      </c>
      <c r="I55" s="57" t="str">
        <f t="shared" si="9"/>
        <v/>
      </c>
      <c r="J55" s="57" t="str">
        <f t="shared" si="10"/>
        <v/>
      </c>
      <c r="K55" s="57" t="str">
        <f t="shared" si="11"/>
        <v>X</v>
      </c>
      <c r="L55" s="58"/>
      <c r="M55" s="57" t="str">
        <f t="shared" si="12"/>
        <v/>
      </c>
      <c r="N55" s="63">
        <f t="shared" si="13"/>
        <v>2</v>
      </c>
      <c r="O55" s="64">
        <f t="shared" si="14"/>
        <v>0.16666666666666666</v>
      </c>
      <c r="P55" s="59"/>
      <c r="Q55" s="59"/>
      <c r="R55" s="59"/>
    </row>
    <row r="56" spans="1:18" ht="15.75">
      <c r="A56" s="52" t="s">
        <v>24</v>
      </c>
      <c r="B56" s="57" t="str">
        <f t="shared" si="4"/>
        <v/>
      </c>
      <c r="C56" s="57" t="str">
        <f t="shared" si="5"/>
        <v>X</v>
      </c>
      <c r="D56" s="57" t="str">
        <f t="shared" si="15"/>
        <v/>
      </c>
      <c r="E56" s="57" t="str">
        <f t="shared" si="6"/>
        <v/>
      </c>
      <c r="F56" s="57" t="str">
        <f t="shared" si="7"/>
        <v>X</v>
      </c>
      <c r="G56" s="58"/>
      <c r="H56" s="57" t="str">
        <f t="shared" si="8"/>
        <v/>
      </c>
      <c r="I56" s="57" t="str">
        <f t="shared" si="9"/>
        <v/>
      </c>
      <c r="J56" s="57" t="str">
        <f t="shared" si="10"/>
        <v/>
      </c>
      <c r="K56" s="57" t="str">
        <f t="shared" si="11"/>
        <v>X</v>
      </c>
      <c r="L56" s="58"/>
      <c r="M56" s="57" t="str">
        <f t="shared" si="12"/>
        <v/>
      </c>
      <c r="N56" s="63">
        <f t="shared" si="13"/>
        <v>3</v>
      </c>
      <c r="O56" s="64">
        <f t="shared" si="14"/>
        <v>0.25</v>
      </c>
      <c r="P56" s="59"/>
      <c r="Q56" s="59"/>
      <c r="R56" s="59"/>
    </row>
    <row r="57" spans="1:18" ht="15.75">
      <c r="A57" s="52" t="s">
        <v>25</v>
      </c>
      <c r="B57" s="57" t="str">
        <f t="shared" si="4"/>
        <v/>
      </c>
      <c r="C57" s="57" t="str">
        <f t="shared" si="5"/>
        <v/>
      </c>
      <c r="D57" s="57" t="str">
        <f t="shared" si="15"/>
        <v/>
      </c>
      <c r="E57" s="57" t="str">
        <f t="shared" si="6"/>
        <v/>
      </c>
      <c r="F57" s="57" t="str">
        <f t="shared" si="7"/>
        <v/>
      </c>
      <c r="G57" s="58"/>
      <c r="H57" s="57" t="str">
        <f t="shared" si="8"/>
        <v/>
      </c>
      <c r="I57" s="57" t="str">
        <f t="shared" si="9"/>
        <v/>
      </c>
      <c r="J57" s="57" t="str">
        <f t="shared" si="10"/>
        <v/>
      </c>
      <c r="K57" s="57" t="str">
        <f t="shared" si="11"/>
        <v>X</v>
      </c>
      <c r="L57" s="58"/>
      <c r="M57" s="57" t="str">
        <f t="shared" si="12"/>
        <v/>
      </c>
      <c r="N57" s="63">
        <f t="shared" si="13"/>
        <v>1</v>
      </c>
      <c r="O57" s="64">
        <f t="shared" si="14"/>
        <v>8.3333333333333329E-2</v>
      </c>
      <c r="P57" s="59"/>
      <c r="Q57" s="59"/>
      <c r="R57" s="59"/>
    </row>
    <row r="58" spans="1:18" ht="15.75">
      <c r="A58" s="52" t="s">
        <v>26</v>
      </c>
      <c r="B58" s="57" t="str">
        <f t="shared" si="4"/>
        <v/>
      </c>
      <c r="C58" s="57" t="str">
        <f t="shared" si="5"/>
        <v>X</v>
      </c>
      <c r="D58" s="57" t="str">
        <f t="shared" si="15"/>
        <v/>
      </c>
      <c r="E58" s="57" t="str">
        <f t="shared" si="6"/>
        <v>X</v>
      </c>
      <c r="F58" s="57" t="str">
        <f t="shared" si="7"/>
        <v/>
      </c>
      <c r="G58" s="58"/>
      <c r="H58" s="57" t="str">
        <f t="shared" si="8"/>
        <v/>
      </c>
      <c r="I58" s="57" t="str">
        <f t="shared" si="9"/>
        <v/>
      </c>
      <c r="J58" s="57" t="str">
        <f t="shared" si="10"/>
        <v>X</v>
      </c>
      <c r="K58" s="57" t="str">
        <f t="shared" si="11"/>
        <v>X</v>
      </c>
      <c r="L58" s="58"/>
      <c r="M58" s="57" t="str">
        <f t="shared" si="12"/>
        <v/>
      </c>
      <c r="N58" s="63">
        <f t="shared" si="13"/>
        <v>4</v>
      </c>
      <c r="O58" s="64">
        <f t="shared" si="14"/>
        <v>0.33333333333333331</v>
      </c>
      <c r="P58" s="59"/>
      <c r="Q58" s="59"/>
      <c r="R58" s="59"/>
    </row>
    <row r="59" spans="1:18" ht="15.75">
      <c r="A59" s="52" t="s">
        <v>27</v>
      </c>
      <c r="B59" s="57" t="str">
        <f t="shared" si="4"/>
        <v/>
      </c>
      <c r="C59" s="57" t="str">
        <f t="shared" si="5"/>
        <v/>
      </c>
      <c r="D59" s="57" t="str">
        <f t="shared" si="15"/>
        <v/>
      </c>
      <c r="E59" s="57" t="str">
        <f t="shared" si="6"/>
        <v/>
      </c>
      <c r="F59" s="57" t="str">
        <f t="shared" si="7"/>
        <v/>
      </c>
      <c r="G59" s="58"/>
      <c r="H59" s="57" t="str">
        <f t="shared" si="8"/>
        <v/>
      </c>
      <c r="I59" s="57" t="str">
        <f t="shared" si="9"/>
        <v/>
      </c>
      <c r="J59" s="57" t="str">
        <f t="shared" si="10"/>
        <v/>
      </c>
      <c r="K59" s="57" t="str">
        <f t="shared" si="11"/>
        <v>X</v>
      </c>
      <c r="L59" s="58"/>
      <c r="M59" s="57" t="str">
        <f t="shared" si="12"/>
        <v/>
      </c>
      <c r="N59" s="63">
        <f t="shared" si="13"/>
        <v>1</v>
      </c>
      <c r="O59" s="64">
        <f t="shared" si="14"/>
        <v>8.3333333333333329E-2</v>
      </c>
      <c r="P59" s="59"/>
      <c r="Q59" s="59"/>
      <c r="R59" s="59"/>
    </row>
    <row r="60" spans="1:18">
      <c r="B60" s="61">
        <f>COUNTIF(B34:B59,"=X")</f>
        <v>1</v>
      </c>
      <c r="C60" s="61">
        <f t="shared" ref="C60:M60" si="16">COUNTIF(C34:C59,"=X")</f>
        <v>6</v>
      </c>
      <c r="D60" s="61">
        <f t="shared" si="16"/>
        <v>3</v>
      </c>
      <c r="E60" s="61">
        <f t="shared" si="16"/>
        <v>2</v>
      </c>
      <c r="F60" s="61">
        <f t="shared" si="16"/>
        <v>2</v>
      </c>
      <c r="G60" s="61">
        <f t="shared" si="16"/>
        <v>0</v>
      </c>
      <c r="H60" s="61">
        <f t="shared" si="16"/>
        <v>4</v>
      </c>
      <c r="I60" s="61">
        <f t="shared" si="16"/>
        <v>3</v>
      </c>
      <c r="J60" s="61">
        <f t="shared" si="16"/>
        <v>2</v>
      </c>
      <c r="K60" s="61">
        <f t="shared" si="16"/>
        <v>26</v>
      </c>
      <c r="L60" s="61">
        <f t="shared" si="16"/>
        <v>0</v>
      </c>
      <c r="M60" s="61">
        <f t="shared" si="16"/>
        <v>1</v>
      </c>
    </row>
    <row r="61" spans="1:18">
      <c r="B61" s="62">
        <f>COUNTIF(B34:B59,"=X")/26</f>
        <v>3.8461538461538464E-2</v>
      </c>
      <c r="C61" s="62">
        <f t="shared" ref="C61:M61" si="17">COUNTIF(C34:C59,"=X")/26</f>
        <v>0.23076923076923078</v>
      </c>
      <c r="D61" s="62">
        <f t="shared" si="17"/>
        <v>0.11538461538461539</v>
      </c>
      <c r="E61" s="62">
        <f t="shared" si="17"/>
        <v>7.6923076923076927E-2</v>
      </c>
      <c r="F61" s="62">
        <f t="shared" si="17"/>
        <v>7.6923076923076927E-2</v>
      </c>
      <c r="G61" s="62">
        <f t="shared" si="17"/>
        <v>0</v>
      </c>
      <c r="H61" s="62">
        <f t="shared" si="17"/>
        <v>0.15384615384615385</v>
      </c>
      <c r="I61" s="62">
        <f t="shared" si="17"/>
        <v>0.11538461538461539</v>
      </c>
      <c r="J61" s="62">
        <f t="shared" si="17"/>
        <v>7.6923076923076927E-2</v>
      </c>
      <c r="K61" s="62">
        <f t="shared" si="17"/>
        <v>1</v>
      </c>
      <c r="L61" s="62">
        <f t="shared" si="17"/>
        <v>0</v>
      </c>
      <c r="M61" s="62">
        <f t="shared" si="17"/>
        <v>3.8461538461538464E-2</v>
      </c>
    </row>
    <row r="62" spans="1:18" s="55" customFormat="1"/>
    <row r="63" spans="1:18" s="55" customFormat="1"/>
  </sheetData>
  <mergeCells count="2">
    <mergeCell ref="Q34:S34"/>
    <mergeCell ref="Q35:S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934B-56DB-440A-9178-EE44AA7E3C58}">
  <sheetPr>
    <tabColor theme="4" tint="0.39997558519241921"/>
  </sheetPr>
  <dimension ref="A1:Q27"/>
  <sheetViews>
    <sheetView workbookViewId="0">
      <selection activeCell="F27" sqref="F27"/>
    </sheetView>
  </sheetViews>
  <sheetFormatPr defaultColWidth="0" defaultRowHeight="15" zeroHeight="1"/>
  <cols>
    <col min="1" max="1" width="21.42578125" bestFit="1" customWidth="1"/>
    <col min="2" max="2" width="13.42578125" bestFit="1" customWidth="1"/>
    <col min="3" max="3" width="12.7109375" bestFit="1" customWidth="1"/>
    <col min="4" max="4" width="17.5703125" bestFit="1" customWidth="1"/>
    <col min="5" max="5" width="16.85546875" bestFit="1" customWidth="1"/>
    <col min="6" max="6" width="19" bestFit="1" customWidth="1"/>
    <col min="7" max="7" width="10.85546875" bestFit="1" customWidth="1"/>
    <col min="8" max="8" width="10.7109375" bestFit="1" customWidth="1"/>
    <col min="9" max="9" width="23" bestFit="1" customWidth="1"/>
    <col min="10" max="10" width="9.28515625" bestFit="1" customWidth="1"/>
    <col min="11" max="11" width="9.7109375" bestFit="1" customWidth="1"/>
    <col min="12" max="12" width="12" bestFit="1" customWidth="1"/>
    <col min="13" max="13" width="19.42578125" bestFit="1" customWidth="1"/>
    <col min="14" max="14" width="6.28515625" bestFit="1" customWidth="1"/>
    <col min="15" max="15" width="9.28515625" bestFit="1" customWidth="1"/>
    <col min="16" max="16" width="10.28515625" bestFit="1" customWidth="1"/>
  </cols>
  <sheetData>
    <row r="1" spans="1:17" ht="18.75">
      <c r="A1" s="37" t="s">
        <v>28</v>
      </c>
      <c r="B1" s="35" t="s">
        <v>29</v>
      </c>
      <c r="C1" s="35" t="s">
        <v>30</v>
      </c>
      <c r="D1" s="35" t="s">
        <v>31</v>
      </c>
      <c r="E1" s="35" t="s">
        <v>32</v>
      </c>
      <c r="F1" s="35" t="s">
        <v>33</v>
      </c>
      <c r="G1" s="35" t="s">
        <v>34</v>
      </c>
      <c r="H1" s="35" t="s">
        <v>35</v>
      </c>
      <c r="I1" s="35" t="s">
        <v>36</v>
      </c>
      <c r="J1" s="35" t="s">
        <v>37</v>
      </c>
      <c r="K1" s="35" t="s">
        <v>38</v>
      </c>
      <c r="L1" s="35" t="s">
        <v>39</v>
      </c>
      <c r="M1" s="35" t="s">
        <v>40</v>
      </c>
      <c r="N1" s="35" t="s">
        <v>41</v>
      </c>
      <c r="O1" s="35" t="s">
        <v>42</v>
      </c>
      <c r="P1" s="35" t="s">
        <v>43</v>
      </c>
    </row>
    <row r="2" spans="1:17" ht="18.75">
      <c r="A2" s="38" t="s">
        <v>2</v>
      </c>
      <c r="B2" s="25" t="str">
        <f>IF(Patrickv2!B2 = Whilev2!B2,"","X")</f>
        <v/>
      </c>
      <c r="C2" s="25" t="str">
        <f>IF(Patrickv2!C2 = Whilev2!C2,"","X")</f>
        <v/>
      </c>
      <c r="D2" s="25" t="str">
        <f>IF(Patrickv2!D2 = Whilev2!D2,"","X")</f>
        <v/>
      </c>
      <c r="E2" s="25" t="str">
        <f>IF(Patrickv2!E2 = Whilev2!E2,"","X")</f>
        <v/>
      </c>
      <c r="F2" s="25" t="str">
        <f>IF(Patrickv2!F2 = Whilev2!F2,"","X")</f>
        <v/>
      </c>
      <c r="G2" s="25" t="str">
        <f>IF(Patrickv2!G2 = Whilev2!G2,"","X")</f>
        <v/>
      </c>
      <c r="H2" s="25" t="str">
        <f>IF(Patrickv2!H2 = Whilev2!H2,"","X")</f>
        <v/>
      </c>
      <c r="I2" s="25" t="str">
        <f>IF(Patrickv2!I2 = Whilev2!I2,"","X")</f>
        <v/>
      </c>
      <c r="J2" s="25" t="str">
        <f>IF(Patrickv2!J2 = Whilev2!J2,"","X")</f>
        <v/>
      </c>
      <c r="K2" s="25" t="str">
        <f>IF(Patrickv2!K2 = Whilev2!K2,"","X")</f>
        <v/>
      </c>
      <c r="L2" s="25" t="str">
        <f>IF(Patrickv2!L2 = Whilev2!L2,"","X")</f>
        <v/>
      </c>
      <c r="M2" s="25" t="str">
        <f>IF(Patrickv2!M2 = Whilev2!M2,"","X")</f>
        <v/>
      </c>
      <c r="N2" s="25" t="str">
        <f>IF(Patrickv2!N2 = Whilev2!N2,"","X")</f>
        <v/>
      </c>
      <c r="O2" s="25" t="str">
        <f>IF(Patrickv2!O2 = Whilev2!O2,"","X")</f>
        <v/>
      </c>
      <c r="P2" s="25" t="str">
        <f>IF(Patrickv2!P2 = Whilev2!P2,"","X")</f>
        <v/>
      </c>
      <c r="Q2" s="25"/>
    </row>
    <row r="3" spans="1:17" ht="18.75">
      <c r="A3" s="38" t="s">
        <v>3</v>
      </c>
      <c r="B3" s="25" t="str">
        <f>IF(Patrickv2!B3 = Whilev2!B3,"","X")</f>
        <v/>
      </c>
      <c r="C3" s="25" t="str">
        <f>IF(Patrickv2!C3 = Whilev2!C3,"","X")</f>
        <v/>
      </c>
      <c r="D3" s="25" t="str">
        <f>IF(Patrickv2!D3 = Whilev2!D3,"","X")</f>
        <v/>
      </c>
      <c r="E3" s="25" t="str">
        <f>IF(Patrickv2!E3 = Whilev2!E3,"","X")</f>
        <v/>
      </c>
      <c r="F3" s="25" t="str">
        <f>IF(Patrickv2!F3 = Whilev2!F3,"","X")</f>
        <v/>
      </c>
      <c r="G3" s="25" t="str">
        <f>IF(Patrickv2!G3 = Whilev2!G3,"","X")</f>
        <v/>
      </c>
      <c r="H3" s="25" t="str">
        <f>IF(Patrickv2!H3 = Whilev2!H3,"","X")</f>
        <v/>
      </c>
      <c r="I3" s="25" t="str">
        <f>IF(Patrickv2!I3 = Whilev2!I3,"","X")</f>
        <v/>
      </c>
      <c r="J3" s="25" t="str">
        <f>IF(Patrickv2!J3 = Whilev2!J3,"","X")</f>
        <v/>
      </c>
      <c r="K3" s="25" t="str">
        <f>IF(Patrickv2!K3 = Whilev2!K3,"","X")</f>
        <v/>
      </c>
      <c r="L3" s="25" t="str">
        <f>IF(Patrickv2!L3 = Whilev2!L3,"","X")</f>
        <v/>
      </c>
      <c r="M3" s="25" t="str">
        <f>IF(Patrickv2!M3 = Whilev2!M3,"","X")</f>
        <v/>
      </c>
      <c r="N3" s="25" t="str">
        <f>IF(Patrickv2!N3 = Whilev2!N3,"","X")</f>
        <v/>
      </c>
      <c r="O3" s="25" t="str">
        <f>IF(Patrickv2!O3 = Whilev2!O3,"","X")</f>
        <v/>
      </c>
      <c r="P3" s="25" t="str">
        <f>IF(Patrickv2!P3 = Whilev2!P3,"","X")</f>
        <v/>
      </c>
    </row>
    <row r="4" spans="1:17" ht="18.75">
      <c r="A4" s="38" t="s">
        <v>4</v>
      </c>
      <c r="B4" s="25" t="str">
        <f>IF(Patrickv2!B4 = Whilev2!B4,"","X")</f>
        <v/>
      </c>
      <c r="C4" s="25" t="str">
        <f>IF(Patrickv2!C4 = Whilev2!C4,"","X")</f>
        <v/>
      </c>
      <c r="D4" s="25" t="str">
        <f>IF(Patrickv2!D4 = Whilev2!D4,"","X")</f>
        <v/>
      </c>
      <c r="E4" s="25" t="str">
        <f>IF(Patrickv2!E4 = Whilev2!E4,"","X")</f>
        <v/>
      </c>
      <c r="F4" s="25" t="str">
        <f>IF(Patrickv2!F4 = Whilev2!F4,"","X")</f>
        <v/>
      </c>
      <c r="G4" s="25" t="str">
        <f>IF(Patrickv2!G4 = Whilev2!G4,"","X")</f>
        <v/>
      </c>
      <c r="H4" s="25" t="str">
        <f>IF(Patrickv2!H4 = Whilev2!H4,"","X")</f>
        <v/>
      </c>
      <c r="I4" s="25" t="str">
        <f>IF(Patrickv2!I4 = Whilev2!I4,"","X")</f>
        <v/>
      </c>
      <c r="J4" s="25" t="str">
        <f>IF(Patrickv2!J4 = Whilev2!J4,"","X")</f>
        <v/>
      </c>
      <c r="K4" s="25" t="str">
        <f>IF(Patrickv2!K4 = Whilev2!K4,"","X")</f>
        <v/>
      </c>
      <c r="L4" s="25" t="str">
        <f>IF(Patrickv2!L4 = Whilev2!L4,"","X")</f>
        <v/>
      </c>
      <c r="M4" s="25" t="str">
        <f>IF(Patrickv2!M4 = Whilev2!M4,"","X")</f>
        <v/>
      </c>
      <c r="N4" s="25" t="str">
        <f>IF(Patrickv2!N4 = Whilev2!N4,"","X")</f>
        <v/>
      </c>
      <c r="O4" s="25" t="str">
        <f>IF(Patrickv2!O4 = Whilev2!O4,"","X")</f>
        <v/>
      </c>
      <c r="P4" s="25" t="str">
        <f>IF(Patrickv2!P4 = Whilev2!P4,"","X")</f>
        <v/>
      </c>
    </row>
    <row r="5" spans="1:17" ht="18.75">
      <c r="A5" s="38" t="s">
        <v>5</v>
      </c>
      <c r="B5" s="25" t="str">
        <f>IF(Patrickv2!B5 = Whilev2!B5,"","X")</f>
        <v/>
      </c>
      <c r="C5" s="25" t="str">
        <f>IF(Patrickv2!C5 = Whilev2!C5,"","X")</f>
        <v/>
      </c>
      <c r="D5" s="25" t="str">
        <f>IF(Patrickv2!D5 = Whilev2!D5,"","X")</f>
        <v/>
      </c>
      <c r="E5" s="25" t="str">
        <f>IF(Patrickv2!E5 = Whilev2!E5,"","X")</f>
        <v/>
      </c>
      <c r="F5" s="25" t="str">
        <f>IF(Patrickv2!F5 = Whilev2!F5,"","X")</f>
        <v/>
      </c>
      <c r="G5" s="25" t="str">
        <f>IF(Patrickv2!G5 = Whilev2!G5,"","X")</f>
        <v/>
      </c>
      <c r="H5" s="25" t="str">
        <f>IF(Patrickv2!H5 = Whilev2!H5,"","X")</f>
        <v/>
      </c>
      <c r="I5" s="25" t="str">
        <f>IF(Patrickv2!I5 = Whilev2!I5,"","X")</f>
        <v/>
      </c>
      <c r="J5" s="25" t="str">
        <f>IF(Patrickv2!J5 = Whilev2!J5,"","X")</f>
        <v/>
      </c>
      <c r="K5" s="25" t="str">
        <f>IF(Patrickv2!K5 = Whilev2!K5,"","X")</f>
        <v/>
      </c>
      <c r="L5" s="25" t="str">
        <f>IF(Patrickv2!L5 = Whilev2!L5,"","X")</f>
        <v/>
      </c>
      <c r="M5" s="25" t="str">
        <f>IF(Patrickv2!M5 = Whilev2!M5,"","X")</f>
        <v/>
      </c>
      <c r="N5" s="25" t="str">
        <f>IF(Patrickv2!N5 = Whilev2!N5,"","X")</f>
        <v/>
      </c>
      <c r="O5" s="25" t="str">
        <f>IF(Patrickv2!O5 = Whilev2!O5,"","X")</f>
        <v/>
      </c>
      <c r="P5" s="25" t="str">
        <f>IF(Patrickv2!P5 = Whilev2!P5,"","X")</f>
        <v/>
      </c>
    </row>
    <row r="6" spans="1:17" ht="18.75">
      <c r="A6" s="38" t="s">
        <v>6</v>
      </c>
      <c r="B6" s="25" t="str">
        <f>IF(Patrickv2!B6 = Whilev2!B6,"","X")</f>
        <v/>
      </c>
      <c r="C6" s="25" t="str">
        <f>IF(Patrickv2!C6 = Whilev2!C6,"","X")</f>
        <v/>
      </c>
      <c r="D6" s="25" t="str">
        <f>IF(Patrickv2!D6 = Whilev2!D6,"","X")</f>
        <v/>
      </c>
      <c r="E6" s="25" t="str">
        <f>IF(Patrickv2!E6 = Whilev2!E6,"","X")</f>
        <v/>
      </c>
      <c r="F6" s="25" t="str">
        <f>IF(Patrickv2!F6 = Whilev2!F6,"","X")</f>
        <v/>
      </c>
      <c r="G6" s="25" t="str">
        <f>IF(Patrickv2!G6 = Whilev2!G6,"","X")</f>
        <v/>
      </c>
      <c r="H6" s="25" t="str">
        <f>IF(Patrickv2!H6 = Whilev2!H6,"","X")</f>
        <v/>
      </c>
      <c r="I6" s="25" t="str">
        <f>IF(Patrickv2!I6 = Whilev2!I6,"","X")</f>
        <v/>
      </c>
      <c r="J6" s="25" t="str">
        <f>IF(Patrickv2!J6 = Whilev2!J6,"","X")</f>
        <v/>
      </c>
      <c r="K6" s="25" t="str">
        <f>IF(Patrickv2!K6 = Whilev2!K6,"","X")</f>
        <v/>
      </c>
      <c r="L6" s="25" t="str">
        <f>IF(Patrickv2!L6 = Whilev2!L6,"","X")</f>
        <v/>
      </c>
      <c r="M6" s="25" t="str">
        <f>IF(Patrickv2!M6 = Whilev2!M6,"","X")</f>
        <v/>
      </c>
      <c r="N6" s="25" t="str">
        <f>IF(Patrickv2!N6 = Whilev2!N6,"","X")</f>
        <v/>
      </c>
      <c r="O6" s="25" t="str">
        <f>IF(Patrickv2!O6 = Whilev2!O6,"","X")</f>
        <v/>
      </c>
      <c r="P6" s="25" t="str">
        <f>IF(Patrickv2!P6 = Whilev2!P6,"","X")</f>
        <v/>
      </c>
    </row>
    <row r="7" spans="1:17" ht="18.75">
      <c r="A7" s="38" t="s">
        <v>7</v>
      </c>
      <c r="B7" s="25" t="str">
        <f>IF(Patrickv2!B7 = Whilev2!B7,"","X")</f>
        <v/>
      </c>
      <c r="C7" s="25" t="str">
        <f>IF(Patrickv2!C7 = Whilev2!C7,"","X")</f>
        <v/>
      </c>
      <c r="D7" s="25" t="str">
        <f>IF(Patrickv2!D7 = Whilev2!D7,"","X")</f>
        <v/>
      </c>
      <c r="E7" s="25" t="str">
        <f>IF(Patrickv2!E7 = Whilev2!E7,"","X")</f>
        <v/>
      </c>
      <c r="F7" s="25" t="str">
        <f>IF(Patrickv2!F7 = Whilev2!F7,"","X")</f>
        <v/>
      </c>
      <c r="G7" s="25" t="str">
        <f>IF(Patrickv2!G7 = Whilev2!G7,"","X")</f>
        <v/>
      </c>
      <c r="H7" s="25" t="str">
        <f>IF(Patrickv2!H7 = Whilev2!H7,"","X")</f>
        <v/>
      </c>
      <c r="I7" s="25" t="str">
        <f>IF(Patrickv2!I7 = Whilev2!I7,"","X")</f>
        <v/>
      </c>
      <c r="J7" s="25" t="str">
        <f>IF(Patrickv2!J7 = Whilev2!J7,"","X")</f>
        <v/>
      </c>
      <c r="K7" s="25" t="str">
        <f>IF(Patrickv2!K7 = Whilev2!K7,"","X")</f>
        <v/>
      </c>
      <c r="L7" s="25" t="str">
        <f>IF(Patrickv2!L7 = Whilev2!L7,"","X")</f>
        <v/>
      </c>
      <c r="M7" s="25" t="str">
        <f>IF(Patrickv2!M7 = Whilev2!M7,"","X")</f>
        <v/>
      </c>
      <c r="N7" s="25" t="str">
        <f>IF(Patrickv2!N7 = Whilev2!N7,"","X")</f>
        <v/>
      </c>
      <c r="O7" s="25" t="str">
        <f>IF(Patrickv2!O7 = Whilev2!O7,"","X")</f>
        <v/>
      </c>
      <c r="P7" s="25" t="str">
        <f>IF(Patrickv2!P7 = Whilev2!P7,"","X")</f>
        <v/>
      </c>
    </row>
    <row r="8" spans="1:17" ht="18.75">
      <c r="A8" s="38" t="s">
        <v>8</v>
      </c>
      <c r="B8" s="25" t="str">
        <f>IF(Patrickv2!B8 = Whilev2!B8,"","X")</f>
        <v/>
      </c>
      <c r="C8" s="25" t="str">
        <f>IF(Patrickv2!C8 = Whilev2!C8,"","X")</f>
        <v/>
      </c>
      <c r="D8" s="25" t="str">
        <f>IF(Patrickv2!D8 = Whilev2!D8,"","X")</f>
        <v/>
      </c>
      <c r="E8" s="25" t="str">
        <f>IF(Patrickv2!E8 = Whilev2!E8,"","X")</f>
        <v/>
      </c>
      <c r="F8" s="25" t="str">
        <f>IF(Patrickv2!F8 = Whilev2!F8,"","X")</f>
        <v/>
      </c>
      <c r="G8" s="25" t="str">
        <f>IF(Patrickv2!G8 = Whilev2!G8,"","X")</f>
        <v/>
      </c>
      <c r="H8" s="25" t="str">
        <f>IF(Patrickv2!H8 = Whilev2!H8,"","X")</f>
        <v/>
      </c>
      <c r="I8" s="25" t="str">
        <f>IF(Patrickv2!I8 = Whilev2!I8,"","X")</f>
        <v/>
      </c>
      <c r="J8" s="25" t="str">
        <f>IF(Patrickv2!J8 = Whilev2!J8,"","X")</f>
        <v/>
      </c>
      <c r="K8" s="25" t="str">
        <f>IF(Patrickv2!K8 = Whilev2!K8,"","X")</f>
        <v/>
      </c>
      <c r="L8" s="25" t="str">
        <f>IF(Patrickv2!L8 = Whilev2!L8,"","X")</f>
        <v/>
      </c>
      <c r="M8" s="25" t="str">
        <f>IF(Patrickv2!M8 = Whilev2!M8,"","X")</f>
        <v/>
      </c>
      <c r="N8" s="25" t="str">
        <f>IF(Patrickv2!N8 = Whilev2!N8,"","X")</f>
        <v/>
      </c>
      <c r="O8" s="25" t="str">
        <f>IF(Patrickv2!O8 = Whilev2!O8,"","X")</f>
        <v/>
      </c>
      <c r="P8" s="25" t="str">
        <f>IF(Patrickv2!P8 = Whilev2!P8,"","X")</f>
        <v/>
      </c>
    </row>
    <row r="9" spans="1:17" ht="18.75">
      <c r="A9" s="38" t="s">
        <v>9</v>
      </c>
      <c r="B9" s="25" t="str">
        <f>IF(Patrickv2!B9 = Whilev2!B9,"","X")</f>
        <v/>
      </c>
      <c r="C9" s="25" t="str">
        <f>IF(Patrickv2!C9 = Whilev2!C9,"","X")</f>
        <v/>
      </c>
      <c r="D9" s="25" t="str">
        <f>IF(Patrickv2!D9 = Whilev2!D9,"","X")</f>
        <v/>
      </c>
      <c r="E9" s="25" t="str">
        <f>IF(Patrickv2!E9 = Whilev2!E9,"","X")</f>
        <v/>
      </c>
      <c r="F9" s="25" t="str">
        <f>IF(Patrickv2!F9 = Whilev2!F9,"","X")</f>
        <v/>
      </c>
      <c r="G9" s="25" t="str">
        <f>IF(Patrickv2!G9 = Whilev2!G9,"","X")</f>
        <v/>
      </c>
      <c r="H9" s="25" t="str">
        <f>IF(Patrickv2!H9 = Whilev2!H9,"","X")</f>
        <v/>
      </c>
      <c r="I9" s="25" t="str">
        <f>IF(Patrickv2!I9 = Whilev2!I9,"","X")</f>
        <v/>
      </c>
      <c r="J9" s="25" t="str">
        <f>IF(Patrickv2!J9 = Whilev2!J9,"","X")</f>
        <v/>
      </c>
      <c r="K9" s="25" t="str">
        <f>IF(Patrickv2!K9 = Whilev2!K9,"","X")</f>
        <v/>
      </c>
      <c r="L9" s="25" t="str">
        <f>IF(Patrickv2!L9 = Whilev2!L9,"","X")</f>
        <v/>
      </c>
      <c r="M9" s="25" t="str">
        <f>IF(Patrickv2!M9 = Whilev2!M9,"","X")</f>
        <v/>
      </c>
      <c r="N9" s="25" t="str">
        <f>IF(Patrickv2!N9 = Whilev2!N9,"","X")</f>
        <v/>
      </c>
      <c r="O9" s="25" t="str">
        <f>IF(Patrickv2!O9 = Whilev2!O9,"","X")</f>
        <v/>
      </c>
      <c r="P9" s="25" t="str">
        <f>IF(Patrickv2!P9 = Whilev2!P9,"","X")</f>
        <v/>
      </c>
    </row>
    <row r="10" spans="1:17" ht="18.75">
      <c r="A10" s="38" t="s">
        <v>10</v>
      </c>
      <c r="B10" s="25" t="str">
        <f>IF(Patrickv2!B10 = Whilev2!B10,"","X")</f>
        <v/>
      </c>
      <c r="C10" s="25" t="str">
        <f>IF(Patrickv2!C10 = Whilev2!C10,"","X")</f>
        <v/>
      </c>
      <c r="D10" s="25" t="str">
        <f>IF(Patrickv2!D10 = Whilev2!D10,"","X")</f>
        <v/>
      </c>
      <c r="E10" s="25" t="str">
        <f>IF(Patrickv2!E10 = Whilev2!E10,"","X")</f>
        <v/>
      </c>
      <c r="F10" s="25" t="str">
        <f>IF(Patrickv2!F10 = Whilev2!F10,"","X")</f>
        <v/>
      </c>
      <c r="G10" s="25" t="str">
        <f>IF(Patrickv2!G10 = Whilev2!G10,"","X")</f>
        <v/>
      </c>
      <c r="H10" s="25" t="str">
        <f>IF(Patrickv2!H10 = Whilev2!H10,"","X")</f>
        <v/>
      </c>
      <c r="I10" s="25" t="str">
        <f>IF(Patrickv2!I10 = Whilev2!I10,"","X")</f>
        <v/>
      </c>
      <c r="J10" s="25" t="str">
        <f>IF(Patrickv2!J10 = Whilev2!J10,"","X")</f>
        <v/>
      </c>
      <c r="K10" s="25" t="str">
        <f>IF(Patrickv2!K10 = Whilev2!K10,"","X")</f>
        <v/>
      </c>
      <c r="L10" s="25" t="str">
        <f>IF(Patrickv2!L10 = Whilev2!L10,"","X")</f>
        <v/>
      </c>
      <c r="M10" s="25" t="str">
        <f>IF(Patrickv2!M10 = Whilev2!M10,"","X")</f>
        <v/>
      </c>
      <c r="N10" s="25" t="str">
        <f>IF(Patrickv2!N10 = Whilev2!N10,"","X")</f>
        <v/>
      </c>
      <c r="O10" s="25" t="str">
        <f>IF(Patrickv2!O10 = Whilev2!O10,"","X")</f>
        <v/>
      </c>
      <c r="P10" s="25" t="str">
        <f>IF(Patrickv2!P10 = Whilev2!P10,"","X")</f>
        <v/>
      </c>
    </row>
    <row r="11" spans="1:17" ht="18.75">
      <c r="A11" s="38" t="s">
        <v>11</v>
      </c>
      <c r="B11" s="25" t="str">
        <f>IF(Patrickv2!B11 = Whilev2!B11,"","X")</f>
        <v/>
      </c>
      <c r="C11" s="25" t="str">
        <f>IF(Patrickv2!C11 = Whilev2!C11,"","X")</f>
        <v/>
      </c>
      <c r="D11" s="25" t="str">
        <f>IF(Patrickv2!D11 = Whilev2!D11,"","X")</f>
        <v/>
      </c>
      <c r="E11" s="25" t="str">
        <f>IF(Patrickv2!E11 = Whilev2!E11,"","X")</f>
        <v/>
      </c>
      <c r="F11" s="25" t="str">
        <f>IF(Patrickv2!F11 = Whilev2!F11,"","X")</f>
        <v/>
      </c>
      <c r="G11" s="25" t="str">
        <f>IF(Patrickv2!G11 = Whilev2!G11,"","X")</f>
        <v/>
      </c>
      <c r="H11" s="25" t="str">
        <f>IF(Patrickv2!H11 = Whilev2!H11,"","X")</f>
        <v/>
      </c>
      <c r="I11" s="25" t="str">
        <f>IF(Patrickv2!I11 = Whilev2!I11,"","X")</f>
        <v/>
      </c>
      <c r="J11" s="25" t="str">
        <f>IF(Patrickv2!J11 = Whilev2!J11,"","X")</f>
        <v/>
      </c>
      <c r="K11" s="25" t="str">
        <f>IF(Patrickv2!K11 = Whilev2!K11,"","X")</f>
        <v/>
      </c>
      <c r="L11" s="25" t="str">
        <f>IF(Patrickv2!L11 = Whilev2!L11,"","X")</f>
        <v/>
      </c>
      <c r="M11" s="25" t="str">
        <f>IF(Patrickv2!M11 = Whilev2!M11,"","X")</f>
        <v/>
      </c>
      <c r="N11" s="25" t="str">
        <f>IF(Patrickv2!N11 = Whilev2!N11,"","X")</f>
        <v/>
      </c>
      <c r="O11" s="25" t="str">
        <f>IF(Patrickv2!O11 = Whilev2!O11,"","X")</f>
        <v/>
      </c>
      <c r="P11" s="25" t="str">
        <f>IF(Patrickv2!P11 = Whilev2!P11,"","X")</f>
        <v/>
      </c>
    </row>
    <row r="12" spans="1:17" ht="18.75">
      <c r="A12" s="38" t="s">
        <v>12</v>
      </c>
      <c r="B12" s="25" t="str">
        <f>IF(Patrickv2!B12 = Whilev2!B12,"","X")</f>
        <v/>
      </c>
      <c r="C12" s="25" t="str">
        <f>IF(Patrickv2!C12 = Whilev2!C12,"","X")</f>
        <v/>
      </c>
      <c r="D12" s="25" t="str">
        <f>IF(Patrickv2!D12 = Whilev2!D12,"","X")</f>
        <v/>
      </c>
      <c r="E12" s="25" t="str">
        <f>IF(Patrickv2!E12 = Whilev2!E12,"","X")</f>
        <v/>
      </c>
      <c r="F12" s="25" t="str">
        <f>IF(Patrickv2!F12 = Whilev2!F12,"","X")</f>
        <v/>
      </c>
      <c r="G12" s="25" t="str">
        <f>IF(Patrickv2!G12 = Whilev2!G12,"","X")</f>
        <v/>
      </c>
      <c r="H12" s="25" t="str">
        <f>IF(Patrickv2!H12 = Whilev2!H12,"","X")</f>
        <v/>
      </c>
      <c r="I12" s="25" t="str">
        <f>IF(Patrickv2!I12 = Whilev2!I12,"","X")</f>
        <v/>
      </c>
      <c r="J12" s="25" t="str">
        <f>IF(Patrickv2!J12 = Whilev2!J12,"","X")</f>
        <v/>
      </c>
      <c r="K12" s="25" t="str">
        <f>IF(Patrickv2!K12 = Whilev2!K12,"","X")</f>
        <v/>
      </c>
      <c r="L12" s="25" t="str">
        <f>IF(Patrickv2!L12 = Whilev2!L12,"","X")</f>
        <v/>
      </c>
      <c r="M12" s="25" t="str">
        <f>IF(Patrickv2!M12 = Whilev2!M12,"","X")</f>
        <v/>
      </c>
      <c r="N12" s="25" t="str">
        <f>IF(Patrickv2!N12 = Whilev2!N12,"","X")</f>
        <v/>
      </c>
      <c r="O12" s="25" t="str">
        <f>IF(Patrickv2!O12 = Whilev2!O12,"","X")</f>
        <v/>
      </c>
      <c r="P12" s="25" t="str">
        <f>IF(Patrickv2!P12 = Whilev2!P12,"","X")</f>
        <v/>
      </c>
    </row>
    <row r="13" spans="1:17" ht="18.75">
      <c r="A13" s="38" t="s">
        <v>13</v>
      </c>
      <c r="B13" s="25" t="str">
        <f>IF(Patrickv2!B13 = Whilev2!B13,"","X")</f>
        <v/>
      </c>
      <c r="C13" s="25" t="str">
        <f>IF(Patrickv2!C13 = Whilev2!C13,"","X")</f>
        <v/>
      </c>
      <c r="D13" s="25" t="str">
        <f>IF(Patrickv2!D13 = Whilev2!D13,"","X")</f>
        <v/>
      </c>
      <c r="E13" s="25" t="str">
        <f>IF(Patrickv2!E13 = Whilev2!E13,"","X")</f>
        <v/>
      </c>
      <c r="F13" s="25" t="str">
        <f>IF(Patrickv2!F13 = Whilev2!F13,"","X")</f>
        <v/>
      </c>
      <c r="G13" s="25" t="str">
        <f>IF(Patrickv2!G13 = Whilev2!G13,"","X")</f>
        <v/>
      </c>
      <c r="H13" s="25" t="str">
        <f>IF(Patrickv2!H13 = Whilev2!H13,"","X")</f>
        <v/>
      </c>
      <c r="I13" s="25" t="str">
        <f>IF(Patrickv2!I13 = Whilev2!I13,"","X")</f>
        <v/>
      </c>
      <c r="J13" s="25" t="str">
        <f>IF(Patrickv2!J13 = Whilev2!J13,"","X")</f>
        <v/>
      </c>
      <c r="K13" s="25" t="str">
        <f>IF(Patrickv2!K13 = Whilev2!K13,"","X")</f>
        <v/>
      </c>
      <c r="L13" s="25" t="str">
        <f>IF(Patrickv2!L13 = Whilev2!L13,"","X")</f>
        <v/>
      </c>
      <c r="M13" s="25" t="str">
        <f>IF(Patrickv2!M13 = Whilev2!M13,"","X")</f>
        <v/>
      </c>
      <c r="N13" s="25" t="str">
        <f>IF(Patrickv2!N13 = Whilev2!N13,"","X")</f>
        <v/>
      </c>
      <c r="O13" s="25" t="str">
        <f>IF(Patrickv2!O13 = Whilev2!O13,"","X")</f>
        <v/>
      </c>
      <c r="P13" s="25" t="str">
        <f>IF(Patrickv2!P13 = Whilev2!P13,"","X")</f>
        <v/>
      </c>
    </row>
    <row r="14" spans="1:17" ht="18.75">
      <c r="A14" s="38" t="s">
        <v>14</v>
      </c>
      <c r="B14" s="25" t="str">
        <f>IF(Patrickv2!B14 = Whilev2!B14,"","X")</f>
        <v/>
      </c>
      <c r="C14" s="25" t="str">
        <f>IF(Patrickv2!C14 = Whilev2!C14,"","X")</f>
        <v/>
      </c>
      <c r="D14" s="25" t="str">
        <f>IF(Patrickv2!D14 = Whilev2!D14,"","X")</f>
        <v/>
      </c>
      <c r="E14" s="25" t="str">
        <f>IF(Patrickv2!E14 = Whilev2!E14,"","X")</f>
        <v/>
      </c>
      <c r="F14" s="25" t="str">
        <f>IF(Patrickv2!F14 = Whilev2!F14,"","X")</f>
        <v/>
      </c>
      <c r="G14" s="25" t="str">
        <f>IF(Patrickv2!G14 = Whilev2!G14,"","X")</f>
        <v/>
      </c>
      <c r="H14" s="25" t="str">
        <f>IF(Patrickv2!H14 = Whilev2!H14,"","X")</f>
        <v/>
      </c>
      <c r="I14" s="25" t="str">
        <f>IF(Patrickv2!I14 = Whilev2!I14,"","X")</f>
        <v/>
      </c>
      <c r="J14" s="25" t="str">
        <f>IF(Patrickv2!J14 = Whilev2!J14,"","X")</f>
        <v/>
      </c>
      <c r="K14" s="25" t="str">
        <f>IF(Patrickv2!K14 = Whilev2!K14,"","X")</f>
        <v/>
      </c>
      <c r="L14" s="25" t="str">
        <f>IF(Patrickv2!L14 = Whilev2!L14,"","X")</f>
        <v/>
      </c>
      <c r="M14" s="25" t="str">
        <f>IF(Patrickv2!M14 = Whilev2!M14,"","X")</f>
        <v/>
      </c>
      <c r="N14" s="25" t="str">
        <f>IF(Patrickv2!N14 = Whilev2!N14,"","X")</f>
        <v/>
      </c>
      <c r="O14" s="25" t="str">
        <f>IF(Patrickv2!O14 = Whilev2!O14,"","X")</f>
        <v/>
      </c>
      <c r="P14" s="25" t="str">
        <f>IF(Patrickv2!P14 = Whilev2!P14,"","X")</f>
        <v/>
      </c>
    </row>
    <row r="15" spans="1:17" ht="18.75">
      <c r="A15" s="38" t="s">
        <v>15</v>
      </c>
      <c r="B15" s="25" t="str">
        <f>IF(Patrickv2!B15 = Whilev2!B15,"","X")</f>
        <v/>
      </c>
      <c r="C15" s="25" t="str">
        <f>IF(Patrickv2!C15 = Whilev2!C15,"","X")</f>
        <v/>
      </c>
      <c r="D15" s="25" t="str">
        <f>IF(Patrickv2!D15 = Whilev2!D15,"","X")</f>
        <v/>
      </c>
      <c r="E15" s="25" t="str">
        <f>IF(Patrickv2!E15 = Whilev2!E15,"","X")</f>
        <v/>
      </c>
      <c r="F15" s="25" t="str">
        <f>IF(Patrickv2!F15 = Whilev2!F15,"","X")</f>
        <v/>
      </c>
      <c r="G15" s="25" t="str">
        <f>IF(Patrickv2!G15 = Whilev2!G15,"","X")</f>
        <v/>
      </c>
      <c r="H15" s="25" t="str">
        <f>IF(Patrickv2!H15 = Whilev2!H15,"","X")</f>
        <v/>
      </c>
      <c r="I15" s="25" t="str">
        <f>IF(Patrickv2!I15 = Whilev2!I15,"","X")</f>
        <v/>
      </c>
      <c r="J15" s="25" t="str">
        <f>IF(Patrickv2!J15 = Whilev2!J15,"","X")</f>
        <v/>
      </c>
      <c r="K15" s="25" t="str">
        <f>IF(Patrickv2!K15 = Whilev2!K15,"","X")</f>
        <v/>
      </c>
      <c r="L15" s="25" t="str">
        <f>IF(Patrickv2!L15 = Whilev2!L15,"","X")</f>
        <v/>
      </c>
      <c r="M15" s="25" t="str">
        <f>IF(Patrickv2!M15 = Whilev2!M15,"","X")</f>
        <v/>
      </c>
      <c r="N15" s="25" t="str">
        <f>IF(Patrickv2!N15 = Whilev2!N15,"","X")</f>
        <v/>
      </c>
      <c r="O15" s="25" t="str">
        <f>IF(Patrickv2!O15 = Whilev2!O15,"","X")</f>
        <v/>
      </c>
      <c r="P15" s="25" t="str">
        <f>IF(Patrickv2!P15 = Whilev2!P15,"","X")</f>
        <v/>
      </c>
    </row>
    <row r="16" spans="1:17" ht="18.75">
      <c r="A16" s="38" t="s">
        <v>16</v>
      </c>
      <c r="B16" s="25" t="str">
        <f>IF(Patrickv2!B16 = Whilev2!B16,"","X")</f>
        <v/>
      </c>
      <c r="C16" s="25" t="str">
        <f>IF(Patrickv2!C16 = Whilev2!C16,"","X")</f>
        <v/>
      </c>
      <c r="D16" s="25" t="str">
        <f>IF(Patrickv2!D16 = Whilev2!D16,"","X")</f>
        <v/>
      </c>
      <c r="E16" s="25" t="str">
        <f>IF(Patrickv2!E16 = Whilev2!E16,"","X")</f>
        <v/>
      </c>
      <c r="F16" s="25" t="str">
        <f>IF(Patrickv2!F16 = Whilev2!F16,"","X")</f>
        <v/>
      </c>
      <c r="G16" s="25" t="str">
        <f>IF(Patrickv2!G16 = Whilev2!G16,"","X")</f>
        <v/>
      </c>
      <c r="H16" s="25" t="str">
        <f>IF(Patrickv2!H16 = Whilev2!H16,"","X")</f>
        <v/>
      </c>
      <c r="I16" s="25" t="str">
        <f>IF(Patrickv2!I16 = Whilev2!I16,"","X")</f>
        <v/>
      </c>
      <c r="J16" s="25" t="str">
        <f>IF(Patrickv2!J16 = Whilev2!J16,"","X")</f>
        <v/>
      </c>
      <c r="K16" s="25" t="str">
        <f>IF(Patrickv2!K16 = Whilev2!K16,"","X")</f>
        <v/>
      </c>
      <c r="L16" s="25" t="str">
        <f>IF(Patrickv2!L16 = Whilev2!L16,"","X")</f>
        <v/>
      </c>
      <c r="M16" s="25" t="str">
        <f>IF(Patrickv2!M16 = Whilev2!M16,"","X")</f>
        <v/>
      </c>
      <c r="N16" s="25" t="str">
        <f>IF(Patrickv2!N16 = Whilev2!N16,"","X")</f>
        <v/>
      </c>
      <c r="O16" s="25" t="str">
        <f>IF(Patrickv2!O16 = Whilev2!O16,"","X")</f>
        <v/>
      </c>
      <c r="P16" s="25" t="str">
        <f>IF(Patrickv2!P16 = Whilev2!P16,"","X")</f>
        <v/>
      </c>
    </row>
    <row r="17" spans="1:16" ht="18.75">
      <c r="A17" s="38" t="s">
        <v>17</v>
      </c>
      <c r="B17" s="25" t="str">
        <f>IF(Patrickv2!B17 = Whilev2!B17,"","X")</f>
        <v/>
      </c>
      <c r="C17" s="25" t="str">
        <f>IF(Patrickv2!C17 = Whilev2!C17,"","X")</f>
        <v/>
      </c>
      <c r="D17" s="25" t="str">
        <f>IF(Patrickv2!D17 = Whilev2!D17,"","X")</f>
        <v/>
      </c>
      <c r="E17" s="25" t="str">
        <f>IF(Patrickv2!E17 = Whilev2!E17,"","X")</f>
        <v/>
      </c>
      <c r="F17" s="25" t="str">
        <f>IF(Patrickv2!F17 = Whilev2!F17,"","X")</f>
        <v/>
      </c>
      <c r="G17" s="25" t="str">
        <f>IF(Patrickv2!G17 = Whilev2!G17,"","X")</f>
        <v/>
      </c>
      <c r="H17" s="25" t="str">
        <f>IF(Patrickv2!H17 = Whilev2!H17,"","X")</f>
        <v/>
      </c>
      <c r="I17" s="25" t="str">
        <f>IF(Patrickv2!I17 = Whilev2!I17,"","X")</f>
        <v/>
      </c>
      <c r="J17" s="25" t="str">
        <f>IF(Patrickv2!J17 = Whilev2!J17,"","X")</f>
        <v/>
      </c>
      <c r="K17" s="25" t="str">
        <f>IF(Patrickv2!K17 = Whilev2!K17,"","X")</f>
        <v/>
      </c>
      <c r="L17" s="25" t="str">
        <f>IF(Patrickv2!L17 = Whilev2!L17,"","X")</f>
        <v/>
      </c>
      <c r="M17" s="25" t="str">
        <f>IF(Patrickv2!M17 = Whilev2!M17,"","X")</f>
        <v/>
      </c>
      <c r="N17" s="25" t="str">
        <f>IF(Patrickv2!N17 = Whilev2!N17,"","X")</f>
        <v/>
      </c>
      <c r="O17" s="25" t="str">
        <f>IF(Patrickv2!O17 = Whilev2!O17,"","X")</f>
        <v/>
      </c>
      <c r="P17" s="25" t="str">
        <f>IF(Patrickv2!P17 = Whilev2!P17,"","X")</f>
        <v/>
      </c>
    </row>
    <row r="18" spans="1:16" ht="18.75">
      <c r="A18" s="38" t="s">
        <v>18</v>
      </c>
      <c r="B18" s="25" t="str">
        <f>IF(Patrickv2!B18 = Whilev2!B18,"","X")</f>
        <v/>
      </c>
      <c r="C18" s="25" t="str">
        <f>IF(Patrickv2!C18 = Whilev2!C18,"","X")</f>
        <v/>
      </c>
      <c r="D18" s="25" t="str">
        <f>IF(Patrickv2!D18 = Whilev2!D18,"","X")</f>
        <v/>
      </c>
      <c r="E18" s="25" t="str">
        <f>IF(Patrickv2!E18 = Whilev2!E18,"","X")</f>
        <v/>
      </c>
      <c r="F18" s="25" t="str">
        <f>IF(Patrickv2!F18 = Whilev2!F18,"","X")</f>
        <v/>
      </c>
      <c r="G18" s="25" t="str">
        <f>IF(Patrickv2!G18 = Whilev2!G18,"","X")</f>
        <v/>
      </c>
      <c r="H18" s="25" t="str">
        <f>IF(Patrickv2!H18 = Whilev2!H18,"","X")</f>
        <v/>
      </c>
      <c r="I18" s="25" t="str">
        <f>IF(Patrickv2!I18 = Whilev2!I18,"","X")</f>
        <v/>
      </c>
      <c r="J18" s="25" t="str">
        <f>IF(Patrickv2!J18 = Whilev2!J18,"","X")</f>
        <v/>
      </c>
      <c r="K18" s="25" t="str">
        <f>IF(Patrickv2!K18 = Whilev2!K18,"","X")</f>
        <v/>
      </c>
      <c r="L18" s="25" t="str">
        <f>IF(Patrickv2!L18 = Whilev2!L18,"","X")</f>
        <v/>
      </c>
      <c r="M18" s="25" t="str">
        <f>IF(Patrickv2!M18 = Whilev2!M18,"","X")</f>
        <v/>
      </c>
      <c r="N18" s="25" t="str">
        <f>IF(Patrickv2!N18 = Whilev2!N18,"","X")</f>
        <v/>
      </c>
      <c r="O18" s="25" t="str">
        <f>IF(Patrickv2!O18 = Whilev2!O18,"","X")</f>
        <v/>
      </c>
      <c r="P18" s="25" t="str">
        <f>IF(Patrickv2!P18 = Whilev2!P18,"","X")</f>
        <v/>
      </c>
    </row>
    <row r="19" spans="1:16" ht="18.75">
      <c r="A19" s="38" t="s">
        <v>19</v>
      </c>
      <c r="B19" s="25" t="str">
        <f>IF(Patrickv2!B19 = Whilev2!B19,"","X")</f>
        <v/>
      </c>
      <c r="C19" s="25" t="str">
        <f>IF(Patrickv2!C19 = Whilev2!C19,"","X")</f>
        <v/>
      </c>
      <c r="D19" s="25" t="str">
        <f>IF(Patrickv2!D19 = Whilev2!D19,"","X")</f>
        <v/>
      </c>
      <c r="E19" s="25" t="str">
        <f>IF(Patrickv2!E19 = Whilev2!E19,"","X")</f>
        <v/>
      </c>
      <c r="F19" s="25" t="str">
        <f>IF(Patrickv2!F19 = Whilev2!F19,"","X")</f>
        <v/>
      </c>
      <c r="G19" s="25" t="str">
        <f>IF(Patrickv2!G19 = Whilev2!G19,"","X")</f>
        <v/>
      </c>
      <c r="H19" s="25" t="str">
        <f>IF(Patrickv2!H19 = Whilev2!H19,"","X")</f>
        <v/>
      </c>
      <c r="I19" s="25" t="str">
        <f>IF(Patrickv2!I19 = Whilev2!I19,"","X")</f>
        <v/>
      </c>
      <c r="J19" s="25" t="str">
        <f>IF(Patrickv2!J19 = Whilev2!J19,"","X")</f>
        <v/>
      </c>
      <c r="K19" s="25" t="str">
        <f>IF(Patrickv2!K19 = Whilev2!K19,"","X")</f>
        <v/>
      </c>
      <c r="L19" s="25" t="str">
        <f>IF(Patrickv2!L19 = Whilev2!L19,"","X")</f>
        <v/>
      </c>
      <c r="M19" s="25" t="str">
        <f>IF(Patrickv2!M19 = Whilev2!M19,"","X")</f>
        <v/>
      </c>
      <c r="N19" s="25" t="str">
        <f>IF(Patrickv2!N19 = Whilev2!N19,"","X")</f>
        <v/>
      </c>
      <c r="O19" s="25" t="str">
        <f>IF(Patrickv2!O19 = Whilev2!O19,"","X")</f>
        <v/>
      </c>
      <c r="P19" s="25" t="str">
        <f>IF(Patrickv2!P19 = Whilev2!P19,"","X")</f>
        <v/>
      </c>
    </row>
    <row r="20" spans="1:16" ht="18.75">
      <c r="A20" s="38" t="s">
        <v>20</v>
      </c>
      <c r="B20" s="25" t="str">
        <f>IF(Patrickv2!B20 = Whilev2!B20,"","X")</f>
        <v/>
      </c>
      <c r="C20" s="25" t="str">
        <f>IF(Patrickv2!C20 = Whilev2!C20,"","X")</f>
        <v/>
      </c>
      <c r="D20" s="25" t="str">
        <f>IF(Patrickv2!D20 = Whilev2!D20,"","X")</f>
        <v/>
      </c>
      <c r="E20" s="25" t="str">
        <f>IF(Patrickv2!E20 = Whilev2!E20,"","X")</f>
        <v/>
      </c>
      <c r="F20" s="25" t="str">
        <f>IF(Patrickv2!F20 = Whilev2!F20,"","X")</f>
        <v/>
      </c>
      <c r="G20" s="25" t="str">
        <f>IF(Patrickv2!G20 = Whilev2!G20,"","X")</f>
        <v/>
      </c>
      <c r="H20" s="25" t="str">
        <f>IF(Patrickv2!H20 = Whilev2!H20,"","X")</f>
        <v/>
      </c>
      <c r="I20" s="25" t="str">
        <f>IF(Patrickv2!I20 = Whilev2!I20,"","X")</f>
        <v/>
      </c>
      <c r="J20" s="25" t="str">
        <f>IF(Patrickv2!J20 = Whilev2!J20,"","X")</f>
        <v/>
      </c>
      <c r="K20" s="25" t="str">
        <f>IF(Patrickv2!K20 = Whilev2!K20,"","X")</f>
        <v/>
      </c>
      <c r="L20" s="25" t="str">
        <f>IF(Patrickv2!L20 = Whilev2!L20,"","X")</f>
        <v/>
      </c>
      <c r="M20" s="25" t="str">
        <f>IF(Patrickv2!M20 = Whilev2!M20,"","X")</f>
        <v/>
      </c>
      <c r="N20" s="25" t="str">
        <f>IF(Patrickv2!N20 = Whilev2!N20,"","X")</f>
        <v/>
      </c>
      <c r="O20" s="25" t="str">
        <f>IF(Patrickv2!O20 = Whilev2!O20,"","X")</f>
        <v/>
      </c>
      <c r="P20" s="25" t="str">
        <f>IF(Patrickv2!P20 = Whilev2!P20,"","X")</f>
        <v/>
      </c>
    </row>
    <row r="21" spans="1:16" ht="18.75">
      <c r="A21" s="38" t="s">
        <v>21</v>
      </c>
      <c r="B21" s="25" t="str">
        <f>IF(Patrickv2!B21 = Whilev2!B21,"","X")</f>
        <v/>
      </c>
      <c r="C21" s="25" t="str">
        <f>IF(Patrickv2!C21 = Whilev2!C21,"","X")</f>
        <v/>
      </c>
      <c r="D21" s="25" t="str">
        <f>IF(Patrickv2!D21 = Whilev2!D21,"","X")</f>
        <v/>
      </c>
      <c r="E21" s="25" t="str">
        <f>IF(Patrickv2!E21 = Whilev2!E21,"","X")</f>
        <v/>
      </c>
      <c r="F21" s="25" t="str">
        <f>IF(Patrickv2!F21 = Whilev2!F21,"","X")</f>
        <v/>
      </c>
      <c r="G21" s="25" t="str">
        <f>IF(Patrickv2!G21 = Whilev2!G21,"","X")</f>
        <v/>
      </c>
      <c r="H21" s="25" t="str">
        <f>IF(Patrickv2!H21 = Whilev2!H21,"","X")</f>
        <v/>
      </c>
      <c r="I21" s="25" t="str">
        <f>IF(Patrickv2!I21 = Whilev2!I21,"","X")</f>
        <v/>
      </c>
      <c r="J21" s="25" t="str">
        <f>IF(Patrickv2!J21 = Whilev2!J21,"","X")</f>
        <v/>
      </c>
      <c r="K21" s="25" t="str">
        <f>IF(Patrickv2!K21 = Whilev2!K21,"","X")</f>
        <v/>
      </c>
      <c r="L21" s="25" t="str">
        <f>IF(Patrickv2!L21 = Whilev2!L21,"","X")</f>
        <v/>
      </c>
      <c r="M21" s="25" t="str">
        <f>IF(Patrickv2!M21 = Whilev2!M21,"","X")</f>
        <v/>
      </c>
      <c r="N21" s="25" t="str">
        <f>IF(Patrickv2!N21 = Whilev2!N21,"","X")</f>
        <v/>
      </c>
      <c r="O21" s="25" t="str">
        <f>IF(Patrickv2!O21 = Whilev2!O21,"","X")</f>
        <v/>
      </c>
      <c r="P21" s="25" t="str">
        <f>IF(Patrickv2!P21 = Whilev2!P21,"","X")</f>
        <v/>
      </c>
    </row>
    <row r="22" spans="1:16" ht="18.75">
      <c r="A22" s="38" t="s">
        <v>22</v>
      </c>
      <c r="B22" s="25" t="str">
        <f>IF(Patrickv2!B22 = Whilev2!B22,"","X")</f>
        <v/>
      </c>
      <c r="C22" s="25" t="str">
        <f>IF(Patrickv2!C22 = Whilev2!C22,"","X")</f>
        <v/>
      </c>
      <c r="D22" s="25" t="str">
        <f>IF(Patrickv2!D22 = Whilev2!D22,"","X")</f>
        <v/>
      </c>
      <c r="E22" s="25" t="str">
        <f>IF(Patrickv2!E22 = Whilev2!E22,"","X")</f>
        <v/>
      </c>
      <c r="F22" s="25" t="str">
        <f>IF(Patrickv2!F22 = Whilev2!F22,"","X")</f>
        <v/>
      </c>
      <c r="G22" s="25" t="str">
        <f>IF(Patrickv2!G22 = Whilev2!G22,"","X")</f>
        <v/>
      </c>
      <c r="H22" s="25" t="str">
        <f>IF(Patrickv2!H22 = Whilev2!H22,"","X")</f>
        <v/>
      </c>
      <c r="I22" s="25" t="str">
        <f>IF(Patrickv2!I22 = Whilev2!I22,"","X")</f>
        <v/>
      </c>
      <c r="J22" s="25" t="str">
        <f>IF(Patrickv2!J22 = Whilev2!J22,"","X")</f>
        <v/>
      </c>
      <c r="K22" s="25" t="str">
        <f>IF(Patrickv2!K22 = Whilev2!K22,"","X")</f>
        <v/>
      </c>
      <c r="L22" s="25" t="str">
        <f>IF(Patrickv2!L22 = Whilev2!L22,"","X")</f>
        <v/>
      </c>
      <c r="M22" s="25" t="str">
        <f>IF(Patrickv2!M22 = Whilev2!M22,"","X")</f>
        <v/>
      </c>
      <c r="N22" s="25" t="str">
        <f>IF(Patrickv2!N22 = Whilev2!N22,"","X")</f>
        <v/>
      </c>
      <c r="O22" s="25" t="str">
        <f>IF(Patrickv2!O22 = Whilev2!O22,"","X")</f>
        <v/>
      </c>
      <c r="P22" s="25" t="str">
        <f>IF(Patrickv2!P22 = Whilev2!P22,"","X")</f>
        <v/>
      </c>
    </row>
    <row r="23" spans="1:16" ht="18.75">
      <c r="A23" s="38" t="s">
        <v>23</v>
      </c>
      <c r="B23" s="25" t="str">
        <f>IF(Patrickv2!B23 = Whilev2!B23,"","X")</f>
        <v/>
      </c>
      <c r="C23" s="25" t="str">
        <f>IF(Patrickv2!C23 = Whilev2!C23,"","X")</f>
        <v/>
      </c>
      <c r="D23" s="25" t="str">
        <f>IF(Patrickv2!D23 = Whilev2!D23,"","X")</f>
        <v/>
      </c>
      <c r="E23" s="25" t="str">
        <f>IF(Patrickv2!E23 = Whilev2!E23,"","X")</f>
        <v/>
      </c>
      <c r="F23" s="25" t="str">
        <f>IF(Patrickv2!F23 = Whilev2!F23,"","X")</f>
        <v/>
      </c>
      <c r="G23" s="25" t="str">
        <f>IF(Patrickv2!G23 = Whilev2!G23,"","X")</f>
        <v/>
      </c>
      <c r="H23" s="25" t="str">
        <f>IF(Patrickv2!H23 = Whilev2!H23,"","X")</f>
        <v/>
      </c>
      <c r="I23" s="25" t="str">
        <f>IF(Patrickv2!I23 = Whilev2!I23,"","X")</f>
        <v/>
      </c>
      <c r="J23" s="25" t="str">
        <f>IF(Patrickv2!J23 = Whilev2!J23,"","X")</f>
        <v/>
      </c>
      <c r="K23" s="25" t="str">
        <f>IF(Patrickv2!K23 = Whilev2!K23,"","X")</f>
        <v/>
      </c>
      <c r="L23" s="25" t="str">
        <f>IF(Patrickv2!L23 = Whilev2!L23,"","X")</f>
        <v/>
      </c>
      <c r="M23" s="25" t="str">
        <f>IF(Patrickv2!M23 = Whilev2!M23,"","X")</f>
        <v/>
      </c>
      <c r="N23" s="25" t="str">
        <f>IF(Patrickv2!N23 = Whilev2!N23,"","X")</f>
        <v/>
      </c>
      <c r="O23" s="25" t="str">
        <f>IF(Patrickv2!O23 = Whilev2!O23,"","X")</f>
        <v/>
      </c>
      <c r="P23" s="25" t="str">
        <f>IF(Patrickv2!P23 = Whilev2!P23,"","X")</f>
        <v/>
      </c>
    </row>
    <row r="24" spans="1:16" ht="18.75">
      <c r="A24" s="38" t="s">
        <v>24</v>
      </c>
      <c r="B24" s="25" t="str">
        <f>IF(Patrickv2!B24 = Whilev2!B24,"","X")</f>
        <v/>
      </c>
      <c r="C24" s="25" t="str">
        <f>IF(Patrickv2!C24 = Whilev2!C24,"","X")</f>
        <v/>
      </c>
      <c r="D24" s="25" t="str">
        <f>IF(Patrickv2!D24 = Whilev2!D24,"","X")</f>
        <v/>
      </c>
      <c r="E24" s="25" t="str">
        <f>IF(Patrickv2!E24 = Whilev2!E24,"","X")</f>
        <v/>
      </c>
      <c r="F24" s="25" t="str">
        <f>IF(Patrickv2!F24 = Whilev2!F24,"","X")</f>
        <v/>
      </c>
      <c r="G24" s="25" t="str">
        <f>IF(Patrickv2!G24 = Whilev2!G24,"","X")</f>
        <v/>
      </c>
      <c r="H24" s="25" t="str">
        <f>IF(Patrickv2!H24 = Whilev2!H24,"","X")</f>
        <v/>
      </c>
      <c r="I24" s="25" t="str">
        <f>IF(Patrickv2!I24 = Whilev2!I24,"","X")</f>
        <v/>
      </c>
      <c r="J24" s="25" t="str">
        <f>IF(Patrickv2!J24 = Whilev2!J24,"","X")</f>
        <v/>
      </c>
      <c r="K24" s="25" t="str">
        <f>IF(Patrickv2!K24 = Whilev2!K24,"","X")</f>
        <v/>
      </c>
      <c r="L24" s="25" t="str">
        <f>IF(Patrickv2!L24 = Whilev2!L24,"","X")</f>
        <v/>
      </c>
      <c r="M24" s="25" t="str">
        <f>IF(Patrickv2!M24 = Whilev2!M24,"","X")</f>
        <v/>
      </c>
      <c r="N24" s="25" t="str">
        <f>IF(Patrickv2!N24 = Whilev2!N24,"","X")</f>
        <v/>
      </c>
      <c r="O24" s="25" t="str">
        <f>IF(Patrickv2!O24 = Whilev2!O24,"","X")</f>
        <v/>
      </c>
      <c r="P24" s="25" t="str">
        <f>IF(Patrickv2!P24 = Whilev2!P24,"","X")</f>
        <v/>
      </c>
    </row>
    <row r="25" spans="1:16" ht="18.75">
      <c r="A25" s="38" t="s">
        <v>25</v>
      </c>
      <c r="B25" s="25" t="str">
        <f>IF(Patrickv2!B25 = Whilev2!B25,"","X")</f>
        <v/>
      </c>
      <c r="C25" s="25" t="str">
        <f>IF(Patrickv2!C25 = Whilev2!C25,"","X")</f>
        <v/>
      </c>
      <c r="D25" s="25" t="str">
        <f>IF(Patrickv2!D25 = Whilev2!D25,"","X")</f>
        <v/>
      </c>
      <c r="E25" s="25" t="str">
        <f>IF(Patrickv2!E25 = Whilev2!E25,"","X")</f>
        <v/>
      </c>
      <c r="F25" s="25" t="str">
        <f>IF(Patrickv2!F25 = Whilev2!F25,"","X")</f>
        <v/>
      </c>
      <c r="G25" s="25" t="str">
        <f>IF(Patrickv2!G25 = Whilev2!G25,"","X")</f>
        <v/>
      </c>
      <c r="H25" s="25" t="str">
        <f>IF(Patrickv2!H25 = Whilev2!H25,"","X")</f>
        <v/>
      </c>
      <c r="I25" s="25" t="str">
        <f>IF(Patrickv2!I25 = Whilev2!I25,"","X")</f>
        <v/>
      </c>
      <c r="J25" s="25" t="str">
        <f>IF(Patrickv2!J25 = Whilev2!J25,"","X")</f>
        <v/>
      </c>
      <c r="K25" s="25" t="str">
        <f>IF(Patrickv2!K25 = Whilev2!K25,"","X")</f>
        <v/>
      </c>
      <c r="L25" s="25" t="str">
        <f>IF(Patrickv2!L25 = Whilev2!L25,"","X")</f>
        <v/>
      </c>
      <c r="M25" s="25" t="str">
        <f>IF(Patrickv2!M25 = Whilev2!M25,"","X")</f>
        <v/>
      </c>
      <c r="N25" s="25" t="str">
        <f>IF(Patrickv2!N25 = Whilev2!N25,"","X")</f>
        <v/>
      </c>
      <c r="O25" s="25" t="str">
        <f>IF(Patrickv2!O25 = Whilev2!O25,"","X")</f>
        <v/>
      </c>
      <c r="P25" s="25" t="str">
        <f>IF(Patrickv2!P25 = Whilev2!P25,"","X")</f>
        <v/>
      </c>
    </row>
    <row r="26" spans="1:16" ht="18.75">
      <c r="A26" s="38" t="s">
        <v>26</v>
      </c>
      <c r="B26" s="25" t="str">
        <f>IF(Patrickv2!B26 = Whilev2!B26,"","X")</f>
        <v/>
      </c>
      <c r="C26" s="25" t="str">
        <f>IF(Patrickv2!C26 = Whilev2!C26,"","X")</f>
        <v/>
      </c>
      <c r="D26" s="25" t="str">
        <f>IF(Patrickv2!D26 = Whilev2!D26,"","X")</f>
        <v/>
      </c>
      <c r="E26" s="25" t="str">
        <f>IF(Patrickv2!E26 = Whilev2!E26,"","X")</f>
        <v/>
      </c>
      <c r="F26" s="25" t="str">
        <f>IF(Patrickv2!F26 = Whilev2!F26,"","X")</f>
        <v/>
      </c>
      <c r="G26" s="25" t="str">
        <f>IF(Patrickv2!G26 = Whilev2!G26,"","X")</f>
        <v/>
      </c>
      <c r="H26" s="25" t="str">
        <f>IF(Patrickv2!H26 = Whilev2!H26,"","X")</f>
        <v/>
      </c>
      <c r="I26" s="25" t="str">
        <f>IF(Patrickv2!I26 = Whilev2!I26,"","X")</f>
        <v/>
      </c>
      <c r="J26" s="25" t="str">
        <f>IF(Patrickv2!J26 = Whilev2!J26,"","X")</f>
        <v/>
      </c>
      <c r="K26" s="25" t="str">
        <f>IF(Patrickv2!K26 = Whilev2!K26,"","X")</f>
        <v/>
      </c>
      <c r="L26" s="25" t="str">
        <f>IF(Patrickv2!L26 = Whilev2!L26,"","X")</f>
        <v/>
      </c>
      <c r="M26" s="25" t="str">
        <f>IF(Patrickv2!M26 = Whilev2!M26,"","X")</f>
        <v/>
      </c>
      <c r="N26" s="25" t="str">
        <f>IF(Patrickv2!N26 = Whilev2!N26,"","X")</f>
        <v/>
      </c>
      <c r="O26" s="25" t="str">
        <f>IF(Patrickv2!O26 = Whilev2!O26,"","X")</f>
        <v/>
      </c>
      <c r="P26" s="25" t="str">
        <f>IF(Patrickv2!P26 = Whilev2!P26,"","X")</f>
        <v/>
      </c>
    </row>
    <row r="27" spans="1:16" ht="18.75">
      <c r="A27" s="38" t="s">
        <v>27</v>
      </c>
      <c r="B27" s="25" t="str">
        <f>IF(Patrickv2!B27 = Whilev2!B27,"","X")</f>
        <v/>
      </c>
      <c r="C27" s="25" t="str">
        <f>IF(Patrickv2!C27 = Whilev2!C27,"","X")</f>
        <v/>
      </c>
      <c r="D27" s="25" t="str">
        <f>IF(Patrickv2!D27 = Whilev2!D27,"","X")</f>
        <v/>
      </c>
      <c r="E27" s="25" t="str">
        <f>IF(Patrickv2!E27 = Whilev2!E27,"","X")</f>
        <v/>
      </c>
      <c r="F27" s="25" t="str">
        <f>IF(Patrickv2!F27 = Whilev2!F27,"","X")</f>
        <v/>
      </c>
      <c r="G27" s="25" t="str">
        <f>IF(Patrickv2!G27 = Whilev2!G27,"","X")</f>
        <v/>
      </c>
      <c r="H27" s="25" t="str">
        <f>IF(Patrickv2!H27 = Whilev2!H27,"","X")</f>
        <v/>
      </c>
      <c r="I27" s="25" t="str">
        <f>IF(Patrickv2!I27 = Whilev2!I27,"","X")</f>
        <v/>
      </c>
      <c r="J27" s="25" t="str">
        <f>IF(Patrickv2!J27 = Whilev2!J27,"","X")</f>
        <v/>
      </c>
      <c r="K27" s="25" t="str">
        <f>IF(Patrickv2!K27 = Whilev2!K27,"","X")</f>
        <v/>
      </c>
      <c r="L27" s="25" t="str">
        <f>IF(Patrickv2!L27 = Whilev2!L27,"","X")</f>
        <v/>
      </c>
      <c r="M27" s="25" t="str">
        <f>IF(Patrickv2!M27 = Whilev2!M27,"","X")</f>
        <v/>
      </c>
      <c r="N27" s="25" t="str">
        <f>IF(Patrickv2!N27 = Whilev2!N27,"","X")</f>
        <v/>
      </c>
      <c r="O27" s="25" t="str">
        <f>IF(Patrickv2!O27 = Whilev2!O27,"","X")</f>
        <v/>
      </c>
      <c r="P27" s="25" t="str">
        <f>IF(Patrickv2!P27 = Whilev2!P27,"","X")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9936-6399-4D31-8770-0FA756A42684}">
  <sheetPr>
    <tabColor rgb="FF0070C0"/>
  </sheetPr>
  <dimension ref="A1:R27"/>
  <sheetViews>
    <sheetView topLeftCell="I1" workbookViewId="0">
      <selection activeCell="I9" sqref="I9"/>
    </sheetView>
  </sheetViews>
  <sheetFormatPr defaultRowHeight="15"/>
  <cols>
    <col min="1" max="1" width="21.42578125" bestFit="1" customWidth="1"/>
    <col min="2" max="2" width="13.42578125" bestFit="1" customWidth="1"/>
    <col min="3" max="3" width="12.7109375" bestFit="1" customWidth="1"/>
    <col min="4" max="4" width="17.5703125" bestFit="1" customWidth="1"/>
    <col min="5" max="5" width="16.85546875" bestFit="1" customWidth="1"/>
    <col min="6" max="6" width="19" bestFit="1" customWidth="1"/>
    <col min="7" max="7" width="10.85546875" bestFit="1" customWidth="1"/>
    <col min="8" max="8" width="10.7109375" bestFit="1" customWidth="1"/>
    <col min="9" max="9" width="23" bestFit="1" customWidth="1"/>
    <col min="10" max="10" width="9.28515625" bestFit="1" customWidth="1"/>
    <col min="11" max="11" width="9.7109375" bestFit="1" customWidth="1"/>
    <col min="12" max="12" width="12" bestFit="1" customWidth="1"/>
    <col min="13" max="13" width="19.42578125" bestFit="1" customWidth="1"/>
    <col min="14" max="14" width="6.28515625" bestFit="1" customWidth="1"/>
    <col min="15" max="15" width="9.28515625" bestFit="1" customWidth="1"/>
    <col min="16" max="16" width="10.28515625" bestFit="1" customWidth="1"/>
    <col min="17" max="17" width="13.5703125" bestFit="1" customWidth="1"/>
    <col min="18" max="18" width="18.140625" bestFit="1" customWidth="1"/>
  </cols>
  <sheetData>
    <row r="1" spans="1:18" ht="18.75">
      <c r="A1" s="37" t="s">
        <v>28</v>
      </c>
      <c r="B1" s="35" t="s">
        <v>29</v>
      </c>
      <c r="C1" s="35" t="s">
        <v>30</v>
      </c>
      <c r="D1" s="35" t="s">
        <v>31</v>
      </c>
      <c r="E1" s="35" t="s">
        <v>32</v>
      </c>
      <c r="F1" s="35" t="s">
        <v>33</v>
      </c>
      <c r="G1" s="35" t="s">
        <v>34</v>
      </c>
      <c r="H1" s="35" t="s">
        <v>35</v>
      </c>
      <c r="I1" s="35" t="s">
        <v>36</v>
      </c>
      <c r="J1" s="35" t="s">
        <v>37</v>
      </c>
      <c r="K1" s="35" t="s">
        <v>38</v>
      </c>
      <c r="L1" s="35" t="s">
        <v>39</v>
      </c>
      <c r="M1" s="35" t="s">
        <v>40</v>
      </c>
      <c r="N1" s="35" t="s">
        <v>41</v>
      </c>
      <c r="O1" s="35" t="s">
        <v>42</v>
      </c>
      <c r="P1" s="35" t="s">
        <v>43</v>
      </c>
      <c r="Q1" s="49" t="s">
        <v>67</v>
      </c>
      <c r="R1" s="49" t="s">
        <v>49</v>
      </c>
    </row>
    <row r="2" spans="1:18" ht="18.75">
      <c r="A2" s="38" t="s">
        <v>2</v>
      </c>
      <c r="B2" s="25"/>
      <c r="C2" s="25"/>
      <c r="D2" s="25" t="s">
        <v>52</v>
      </c>
      <c r="E2" s="25"/>
      <c r="F2" s="25"/>
      <c r="G2" s="25"/>
      <c r="H2" s="25" t="s">
        <v>52</v>
      </c>
      <c r="I2" s="25"/>
      <c r="J2" s="25" t="s">
        <v>52</v>
      </c>
      <c r="K2" s="25" t="s">
        <v>52</v>
      </c>
      <c r="L2" s="25"/>
      <c r="M2" s="25"/>
      <c r="N2" s="25" t="s">
        <v>52</v>
      </c>
      <c r="O2" s="25"/>
      <c r="P2" s="25"/>
    </row>
    <row r="3" spans="1:18" ht="18.75">
      <c r="A3" s="38" t="s">
        <v>3</v>
      </c>
      <c r="B3" s="25" t="s">
        <v>52</v>
      </c>
      <c r="C3" s="25" t="s">
        <v>52</v>
      </c>
      <c r="D3" s="25"/>
      <c r="E3" s="25" t="s">
        <v>52</v>
      </c>
      <c r="F3" s="25"/>
      <c r="G3" s="25"/>
      <c r="H3" s="25" t="s">
        <v>52</v>
      </c>
      <c r="I3" s="25" t="s">
        <v>52</v>
      </c>
      <c r="J3" s="25" t="s">
        <v>52</v>
      </c>
      <c r="K3" s="25"/>
      <c r="L3" s="25" t="s">
        <v>52</v>
      </c>
      <c r="M3" s="25" t="s">
        <v>52</v>
      </c>
      <c r="N3" s="25" t="s">
        <v>52</v>
      </c>
      <c r="O3" s="25"/>
      <c r="P3" s="25" t="s">
        <v>52</v>
      </c>
    </row>
    <row r="4" spans="1:18" ht="18.75">
      <c r="A4" s="38" t="s">
        <v>4</v>
      </c>
      <c r="B4" s="25"/>
      <c r="C4" s="25"/>
      <c r="D4" s="25"/>
      <c r="E4" s="25" t="s">
        <v>52</v>
      </c>
      <c r="F4" s="25"/>
      <c r="G4" s="25"/>
      <c r="H4" s="25"/>
      <c r="I4" s="25"/>
      <c r="J4" s="25" t="s">
        <v>52</v>
      </c>
      <c r="K4" s="25"/>
      <c r="L4" s="25" t="s">
        <v>52</v>
      </c>
      <c r="M4" s="25"/>
      <c r="N4" s="25" t="s">
        <v>52</v>
      </c>
      <c r="O4" s="25"/>
      <c r="P4" s="25"/>
    </row>
    <row r="5" spans="1:18" ht="18.75">
      <c r="A5" s="38" t="s">
        <v>5</v>
      </c>
      <c r="B5" s="25"/>
      <c r="C5" s="25"/>
      <c r="D5" s="25" t="s">
        <v>52</v>
      </c>
      <c r="E5" s="25"/>
      <c r="F5" s="25"/>
      <c r="G5" s="25"/>
      <c r="H5" s="25"/>
      <c r="I5" s="25"/>
      <c r="J5" s="25" t="s">
        <v>52</v>
      </c>
      <c r="K5" s="25"/>
      <c r="L5" s="25" t="s">
        <v>52</v>
      </c>
      <c r="M5" s="25"/>
      <c r="N5" s="25" t="s">
        <v>52</v>
      </c>
      <c r="O5" s="25"/>
      <c r="P5" s="25"/>
    </row>
    <row r="6" spans="1:18" ht="18.75">
      <c r="A6" s="38" t="s">
        <v>6</v>
      </c>
      <c r="B6" s="25"/>
      <c r="C6" s="25"/>
      <c r="D6" s="25" t="s">
        <v>52</v>
      </c>
      <c r="E6" s="25"/>
      <c r="F6" s="25" t="s">
        <v>52</v>
      </c>
      <c r="G6" s="25"/>
      <c r="H6" s="25"/>
      <c r="I6" s="25" t="s">
        <v>52</v>
      </c>
      <c r="J6" s="25" t="s">
        <v>52</v>
      </c>
      <c r="K6" s="25"/>
      <c r="L6" s="25"/>
      <c r="M6" s="25"/>
      <c r="N6" s="25"/>
      <c r="O6" s="25"/>
      <c r="P6" s="25"/>
    </row>
    <row r="7" spans="1:18" ht="18.75">
      <c r="A7" s="38" t="s">
        <v>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 t="s">
        <v>52</v>
      </c>
      <c r="M7" s="25"/>
      <c r="N7" s="25"/>
      <c r="O7" s="25"/>
      <c r="P7" s="25"/>
    </row>
    <row r="8" spans="1:18" ht="18.75">
      <c r="A8" s="38" t="s">
        <v>8</v>
      </c>
      <c r="B8" s="25"/>
      <c r="C8" s="25"/>
      <c r="D8" s="25"/>
      <c r="E8" s="25"/>
      <c r="F8" s="25"/>
      <c r="G8" s="25"/>
      <c r="H8" s="25"/>
      <c r="I8" s="25"/>
      <c r="J8" s="25" t="s">
        <v>52</v>
      </c>
      <c r="K8" s="25"/>
      <c r="L8" s="25" t="s">
        <v>52</v>
      </c>
      <c r="M8" s="25"/>
      <c r="N8" s="25"/>
      <c r="O8" s="25"/>
      <c r="P8" s="25"/>
    </row>
    <row r="9" spans="1:18" ht="18.75">
      <c r="A9" s="38" t="s">
        <v>9</v>
      </c>
      <c r="B9" s="25"/>
      <c r="C9" s="25"/>
      <c r="D9" s="25" t="s">
        <v>52</v>
      </c>
      <c r="E9" s="25"/>
      <c r="F9" s="25"/>
      <c r="G9" s="25"/>
      <c r="H9" s="25"/>
      <c r="I9" s="25"/>
      <c r="J9" s="25" t="s">
        <v>52</v>
      </c>
      <c r="K9" s="25"/>
      <c r="L9" s="25"/>
      <c r="M9" s="25"/>
      <c r="N9" s="25"/>
      <c r="O9" s="25"/>
      <c r="P9" s="25"/>
    </row>
    <row r="10" spans="1:18" ht="18.75">
      <c r="A10" s="38" t="s">
        <v>10</v>
      </c>
      <c r="B10" s="25"/>
      <c r="C10" s="25"/>
      <c r="D10" s="25" t="s">
        <v>52</v>
      </c>
      <c r="E10" s="25"/>
      <c r="F10" s="25"/>
      <c r="G10" s="25"/>
      <c r="H10" s="25"/>
      <c r="I10" s="25"/>
      <c r="J10" s="25" t="s">
        <v>52</v>
      </c>
      <c r="K10" s="25"/>
      <c r="L10" s="25" t="s">
        <v>52</v>
      </c>
      <c r="M10" s="25"/>
      <c r="N10" s="25"/>
      <c r="O10" s="25"/>
      <c r="P10" s="25"/>
    </row>
    <row r="11" spans="1:18" ht="18.75">
      <c r="A11" s="38" t="s">
        <v>11</v>
      </c>
      <c r="B11" s="25" t="s">
        <v>52</v>
      </c>
      <c r="C11" s="25"/>
      <c r="D11" s="25"/>
      <c r="E11" s="25"/>
      <c r="F11" s="25"/>
      <c r="G11" s="25"/>
      <c r="H11" s="25"/>
      <c r="I11" s="25"/>
      <c r="J11" s="25" t="s">
        <v>52</v>
      </c>
      <c r="K11" s="25"/>
      <c r="L11" s="25" t="s">
        <v>52</v>
      </c>
      <c r="M11" s="25"/>
      <c r="N11" s="25" t="s">
        <v>52</v>
      </c>
      <c r="O11" s="25"/>
      <c r="P11" s="25"/>
    </row>
    <row r="12" spans="1:18" ht="18.75">
      <c r="A12" s="38" t="s">
        <v>12</v>
      </c>
      <c r="B12" s="25"/>
      <c r="C12" s="25"/>
      <c r="D12" s="25"/>
      <c r="E12" s="25"/>
      <c r="F12" s="25"/>
      <c r="G12" s="25"/>
      <c r="H12" s="25"/>
      <c r="I12" s="25"/>
      <c r="J12" s="25" t="s">
        <v>52</v>
      </c>
      <c r="K12" s="25"/>
      <c r="L12" s="25" t="s">
        <v>52</v>
      </c>
      <c r="M12" s="25"/>
      <c r="N12" s="25" t="s">
        <v>52</v>
      </c>
      <c r="O12" s="25"/>
      <c r="P12" s="25"/>
    </row>
    <row r="13" spans="1:18" ht="18.75">
      <c r="A13" s="38" t="s">
        <v>13</v>
      </c>
      <c r="B13" s="25"/>
      <c r="C13" s="25"/>
      <c r="D13" s="25"/>
      <c r="E13" s="25"/>
      <c r="F13" s="25"/>
      <c r="G13" s="25"/>
      <c r="H13" s="25"/>
      <c r="I13" s="25"/>
      <c r="J13" s="25" t="s">
        <v>52</v>
      </c>
      <c r="K13" s="25"/>
      <c r="L13" s="25" t="s">
        <v>52</v>
      </c>
      <c r="M13" s="25"/>
      <c r="N13" s="25"/>
      <c r="O13" s="25"/>
      <c r="P13" s="25"/>
    </row>
    <row r="14" spans="1:18" ht="18.75">
      <c r="A14" s="38" t="s">
        <v>14</v>
      </c>
      <c r="B14" s="25"/>
      <c r="C14" s="25"/>
      <c r="D14" s="25"/>
      <c r="E14" s="25"/>
      <c r="F14" s="25"/>
      <c r="G14" s="25"/>
      <c r="H14" s="25"/>
      <c r="I14" s="25"/>
      <c r="J14" s="25" t="s">
        <v>52</v>
      </c>
      <c r="K14" s="25"/>
      <c r="L14" s="25"/>
      <c r="M14" s="25"/>
      <c r="N14" s="25"/>
      <c r="O14" s="25"/>
      <c r="P14" s="25"/>
    </row>
    <row r="15" spans="1:18" ht="18.75">
      <c r="A15" s="38" t="s">
        <v>15</v>
      </c>
      <c r="B15" s="25"/>
      <c r="C15" s="25"/>
      <c r="D15" s="25"/>
      <c r="E15" s="25"/>
      <c r="F15" s="25"/>
      <c r="G15" s="25"/>
      <c r="H15" s="25"/>
      <c r="I15" s="25"/>
      <c r="J15" s="25" t="s">
        <v>52</v>
      </c>
      <c r="K15" s="25"/>
      <c r="L15" s="25"/>
      <c r="M15" s="25"/>
      <c r="N15" s="25"/>
      <c r="O15" s="25"/>
      <c r="P15" s="25"/>
    </row>
    <row r="16" spans="1:18" ht="18.75">
      <c r="A16" s="38" t="s">
        <v>16</v>
      </c>
      <c r="B16" s="25"/>
      <c r="C16" s="25"/>
      <c r="D16" s="25"/>
      <c r="E16" s="25"/>
      <c r="F16" s="25"/>
      <c r="G16" s="25"/>
      <c r="H16" s="25"/>
      <c r="I16" s="25"/>
      <c r="J16" s="25" t="s">
        <v>52</v>
      </c>
      <c r="K16" s="25"/>
      <c r="L16" s="25" t="s">
        <v>52</v>
      </c>
      <c r="M16" s="25"/>
      <c r="N16" s="25"/>
      <c r="O16" s="25"/>
      <c r="P16" s="25"/>
    </row>
    <row r="17" spans="1:18" ht="18.75">
      <c r="A17" s="38" t="s">
        <v>17</v>
      </c>
      <c r="B17" s="25"/>
      <c r="C17" s="25"/>
      <c r="D17" s="25"/>
      <c r="E17" s="25"/>
      <c r="F17" s="25"/>
      <c r="G17" s="25"/>
      <c r="H17" s="25"/>
      <c r="I17" s="25"/>
      <c r="J17" s="25" t="s">
        <v>52</v>
      </c>
      <c r="K17" s="25"/>
      <c r="L17" s="25"/>
      <c r="M17" s="25"/>
      <c r="N17" s="25"/>
      <c r="O17" s="25"/>
      <c r="P17" s="25"/>
    </row>
    <row r="18" spans="1:18" ht="18.75">
      <c r="A18" s="38" t="s">
        <v>18</v>
      </c>
      <c r="B18" s="25"/>
      <c r="C18" s="25"/>
      <c r="D18" s="25"/>
      <c r="E18" s="25"/>
      <c r="F18" s="25"/>
      <c r="G18" s="25" t="s">
        <v>52</v>
      </c>
      <c r="H18" s="25"/>
      <c r="I18" s="25"/>
      <c r="J18" s="25" t="s">
        <v>52</v>
      </c>
      <c r="K18" s="25"/>
      <c r="L18" s="25"/>
      <c r="M18" s="25"/>
      <c r="N18" s="25"/>
      <c r="O18" s="25" t="s">
        <v>52</v>
      </c>
      <c r="P18" s="25"/>
    </row>
    <row r="19" spans="1:18" ht="18.75">
      <c r="A19" s="38" t="s">
        <v>19</v>
      </c>
      <c r="B19" s="25"/>
      <c r="C19" s="25"/>
      <c r="D19" s="25"/>
      <c r="E19" s="25"/>
      <c r="F19" s="25"/>
      <c r="G19" s="25"/>
      <c r="H19" s="25"/>
      <c r="I19" s="25"/>
      <c r="J19" s="25" t="s">
        <v>52</v>
      </c>
      <c r="K19" s="25"/>
      <c r="L19" s="25" t="s">
        <v>52</v>
      </c>
      <c r="M19" s="25"/>
      <c r="N19" s="25"/>
      <c r="O19" s="25"/>
      <c r="P19" s="25"/>
    </row>
    <row r="20" spans="1:18" ht="18.75">
      <c r="A20" s="38" t="s">
        <v>20</v>
      </c>
      <c r="J20" s="25" t="s">
        <v>52</v>
      </c>
    </row>
    <row r="21" spans="1:18" ht="18.75">
      <c r="A21" s="38" t="s">
        <v>21</v>
      </c>
      <c r="E21" s="25" t="s">
        <v>52</v>
      </c>
      <c r="H21" s="25" t="s">
        <v>52</v>
      </c>
      <c r="J21" s="25" t="s">
        <v>52</v>
      </c>
      <c r="L21" s="25" t="s">
        <v>52</v>
      </c>
      <c r="O21" s="25"/>
    </row>
    <row r="22" spans="1:18" ht="18.75">
      <c r="A22" s="38" t="s">
        <v>22</v>
      </c>
      <c r="J22" s="25" t="s">
        <v>52</v>
      </c>
      <c r="L22" s="25" t="s">
        <v>52</v>
      </c>
      <c r="N22" s="25" t="s">
        <v>52</v>
      </c>
    </row>
    <row r="23" spans="1:18" ht="18.75">
      <c r="A23" s="38" t="s">
        <v>23</v>
      </c>
      <c r="K23" s="25"/>
      <c r="L23" s="25" t="s">
        <v>52</v>
      </c>
      <c r="N23" s="25" t="s">
        <v>52</v>
      </c>
    </row>
    <row r="24" spans="1:18" ht="18.75">
      <c r="A24" s="38" t="s">
        <v>24</v>
      </c>
      <c r="G24" s="25" t="s">
        <v>52</v>
      </c>
      <c r="J24" s="25" t="s">
        <v>52</v>
      </c>
      <c r="L24" s="25" t="s">
        <v>52</v>
      </c>
    </row>
    <row r="25" spans="1:18" ht="18.75">
      <c r="A25" s="38" t="s">
        <v>25</v>
      </c>
      <c r="J25" s="25" t="s">
        <v>52</v>
      </c>
      <c r="L25" s="25"/>
      <c r="N25" s="25" t="s">
        <v>52</v>
      </c>
    </row>
    <row r="26" spans="1:18" ht="18.75">
      <c r="A26" s="38" t="s">
        <v>26</v>
      </c>
      <c r="B26" s="25" t="s">
        <v>52</v>
      </c>
      <c r="F26" s="25"/>
      <c r="J26" s="25" t="s">
        <v>52</v>
      </c>
      <c r="N26" s="25" t="s">
        <v>52</v>
      </c>
      <c r="Q26" s="25" t="s">
        <v>52</v>
      </c>
      <c r="R26" s="25" t="s">
        <v>52</v>
      </c>
    </row>
    <row r="27" spans="1:18" ht="18.75">
      <c r="A27" s="38" t="s">
        <v>27</v>
      </c>
      <c r="B27" s="25" t="s">
        <v>52</v>
      </c>
      <c r="F27" s="25" t="s">
        <v>52</v>
      </c>
      <c r="J27" s="2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614D-9CBD-4487-B5D2-88EEE8E88F1C}">
  <sheetPr>
    <tabColor rgb="FF0070C0"/>
  </sheetPr>
  <dimension ref="A1:X28"/>
  <sheetViews>
    <sheetView workbookViewId="0">
      <pane xSplit="1" ySplit="1" topLeftCell="O2" activePane="bottomRight" state="frozen"/>
      <selection pane="bottomRight" activeCell="M22" sqref="M22"/>
      <selection pane="bottomLeft"/>
      <selection pane="topRight"/>
    </sheetView>
  </sheetViews>
  <sheetFormatPr defaultColWidth="0" defaultRowHeight="15.75" customHeight="1" zeroHeight="1"/>
  <cols>
    <col min="1" max="1" width="18" style="24" bestFit="1" customWidth="1"/>
    <col min="2" max="2" width="13.42578125" style="24" bestFit="1" customWidth="1"/>
    <col min="3" max="3" width="12.7109375" style="24" bestFit="1" customWidth="1"/>
    <col min="4" max="4" width="17.5703125" style="24" bestFit="1" customWidth="1"/>
    <col min="5" max="5" width="16.85546875" style="24" bestFit="1" customWidth="1"/>
    <col min="6" max="6" width="19" style="24" bestFit="1" customWidth="1"/>
    <col min="7" max="7" width="10.85546875" style="24" bestFit="1" customWidth="1"/>
    <col min="8" max="8" width="10.7109375" style="24" bestFit="1" customWidth="1"/>
    <col min="9" max="9" width="23" style="24" bestFit="1" customWidth="1"/>
    <col min="10" max="10" width="9.28515625" style="24" bestFit="1" customWidth="1"/>
    <col min="11" max="11" width="9.7109375" style="24" bestFit="1" customWidth="1"/>
    <col min="12" max="12" width="12" style="24" bestFit="1" customWidth="1"/>
    <col min="13" max="13" width="19.42578125" style="24" bestFit="1" customWidth="1"/>
    <col min="14" max="14" width="6.28515625" style="24" bestFit="1" customWidth="1"/>
    <col min="15" max="15" width="9.28515625" style="24" bestFit="1" customWidth="1"/>
    <col min="16" max="16" width="10.28515625" style="24" bestFit="1" customWidth="1"/>
    <col min="17" max="17" width="18.140625" bestFit="1" customWidth="1"/>
    <col min="18" max="18" width="20.7109375" bestFit="1" customWidth="1"/>
    <col min="19" max="19" width="5.42578125" bestFit="1" customWidth="1"/>
    <col min="20" max="21" width="12.7109375" bestFit="1" customWidth="1"/>
    <col min="22" max="22" width="15" bestFit="1" customWidth="1"/>
    <col min="23" max="23" width="16.5703125" bestFit="1" customWidth="1"/>
    <col min="24" max="24" width="8.85546875" bestFit="1" customWidth="1"/>
  </cols>
  <sheetData>
    <row r="1" spans="1:24">
      <c r="A1" s="39" t="s">
        <v>28</v>
      </c>
      <c r="B1" s="39" t="s">
        <v>29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48" t="s">
        <v>44</v>
      </c>
      <c r="R1" s="48" t="s">
        <v>45</v>
      </c>
      <c r="S1" s="48" t="s">
        <v>46</v>
      </c>
      <c r="T1" s="48" t="s">
        <v>47</v>
      </c>
      <c r="U1" s="48" t="s">
        <v>48</v>
      </c>
      <c r="V1" s="48" t="s">
        <v>49</v>
      </c>
      <c r="W1" s="48" t="s">
        <v>50</v>
      </c>
      <c r="X1" s="48" t="s">
        <v>51</v>
      </c>
    </row>
    <row r="2" spans="1:24" s="36" customFormat="1">
      <c r="A2" s="40" t="s">
        <v>2</v>
      </c>
      <c r="B2" s="41"/>
      <c r="C2" s="41"/>
      <c r="D2" s="41" t="s">
        <v>52</v>
      </c>
      <c r="E2" s="41"/>
      <c r="F2" s="41"/>
      <c r="G2" s="41"/>
      <c r="H2" s="41" t="s">
        <v>52</v>
      </c>
      <c r="I2" s="41"/>
      <c r="J2" s="41" t="s">
        <v>52</v>
      </c>
      <c r="K2" s="41" t="s">
        <v>52</v>
      </c>
      <c r="L2" s="41"/>
      <c r="M2" s="41"/>
      <c r="N2" s="41" t="s">
        <v>52</v>
      </c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4" s="36" customFormat="1">
      <c r="A3" s="40" t="s">
        <v>3</v>
      </c>
      <c r="B3" s="41" t="s">
        <v>52</v>
      </c>
      <c r="C3" s="41" t="s">
        <v>52</v>
      </c>
      <c r="D3" s="41"/>
      <c r="E3" s="41" t="s">
        <v>52</v>
      </c>
      <c r="F3" s="41"/>
      <c r="G3" s="41"/>
      <c r="H3" s="41" t="s">
        <v>52</v>
      </c>
      <c r="I3" s="41" t="s">
        <v>52</v>
      </c>
      <c r="J3" s="41" t="s">
        <v>52</v>
      </c>
      <c r="K3" s="41"/>
      <c r="L3" s="41" t="s">
        <v>52</v>
      </c>
      <c r="M3" s="41" t="s">
        <v>52</v>
      </c>
      <c r="N3" s="41" t="s">
        <v>52</v>
      </c>
      <c r="O3" s="41"/>
      <c r="P3" s="41" t="s">
        <v>52</v>
      </c>
      <c r="Q3" s="41" t="s">
        <v>52</v>
      </c>
      <c r="R3" s="41"/>
      <c r="S3" s="41"/>
      <c r="T3" s="41"/>
      <c r="U3" s="41"/>
      <c r="V3" s="41"/>
      <c r="W3" s="41"/>
      <c r="X3" s="41" t="s">
        <v>52</v>
      </c>
    </row>
    <row r="4" spans="1:24" s="36" customFormat="1">
      <c r="A4" s="40" t="s">
        <v>4</v>
      </c>
      <c r="B4" s="41"/>
      <c r="C4" s="41"/>
      <c r="D4" s="41"/>
      <c r="E4" s="41" t="s">
        <v>52</v>
      </c>
      <c r="F4" s="41"/>
      <c r="G4" s="41"/>
      <c r="H4" s="41"/>
      <c r="I4" s="41"/>
      <c r="J4" s="41" t="s">
        <v>52</v>
      </c>
      <c r="K4" s="41"/>
      <c r="L4" s="41" t="s">
        <v>52</v>
      </c>
      <c r="M4" s="41"/>
      <c r="N4" s="41" t="s">
        <v>52</v>
      </c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4" s="36" customFormat="1">
      <c r="A5" s="40" t="s">
        <v>5</v>
      </c>
      <c r="B5" s="41"/>
      <c r="C5" s="41"/>
      <c r="D5" s="41" t="s">
        <v>52</v>
      </c>
      <c r="E5" s="41"/>
      <c r="F5" s="41"/>
      <c r="G5" s="41"/>
      <c r="H5" s="41"/>
      <c r="I5" s="41"/>
      <c r="J5" s="41" t="s">
        <v>52</v>
      </c>
      <c r="K5" s="41"/>
      <c r="L5" s="41" t="s">
        <v>52</v>
      </c>
      <c r="M5" s="41"/>
      <c r="N5" s="41" t="s">
        <v>52</v>
      </c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1:24" s="36" customFormat="1">
      <c r="A6" s="40" t="s">
        <v>6</v>
      </c>
      <c r="B6" s="41"/>
      <c r="C6" s="41"/>
      <c r="D6" s="41" t="s">
        <v>52</v>
      </c>
      <c r="E6" s="41"/>
      <c r="F6" s="41" t="s">
        <v>52</v>
      </c>
      <c r="G6" s="41"/>
      <c r="H6" s="41"/>
      <c r="I6" s="41" t="s">
        <v>52</v>
      </c>
      <c r="J6" s="41" t="s">
        <v>52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1:24" s="36" customFormat="1">
      <c r="A7" s="40" t="s">
        <v>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 t="s">
        <v>52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spans="1:24" s="36" customFormat="1">
      <c r="A8" s="40" t="s">
        <v>8</v>
      </c>
      <c r="B8" s="41"/>
      <c r="C8" s="41"/>
      <c r="D8" s="41"/>
      <c r="E8" s="41"/>
      <c r="F8" s="41"/>
      <c r="G8" s="41"/>
      <c r="H8" s="41"/>
      <c r="I8" s="41"/>
      <c r="J8" s="41" t="s">
        <v>52</v>
      </c>
      <c r="K8" s="41"/>
      <c r="L8" s="41" t="s">
        <v>52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1:24" s="36" customFormat="1">
      <c r="A9" s="40" t="s">
        <v>9</v>
      </c>
      <c r="B9" s="41"/>
      <c r="C9" s="41"/>
      <c r="D9" s="41" t="s">
        <v>52</v>
      </c>
      <c r="E9" s="41"/>
      <c r="F9" s="41"/>
      <c r="G9" s="41"/>
      <c r="H9" s="41"/>
      <c r="I9" s="41"/>
      <c r="J9" s="41" t="s">
        <v>52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24" s="36" customFormat="1">
      <c r="A10" s="40" t="s">
        <v>10</v>
      </c>
      <c r="B10" s="41"/>
      <c r="C10" s="41"/>
      <c r="D10" s="41" t="s">
        <v>52</v>
      </c>
      <c r="E10" s="41"/>
      <c r="F10" s="41"/>
      <c r="G10" s="41"/>
      <c r="H10" s="41"/>
      <c r="I10" s="41"/>
      <c r="J10" s="41" t="s">
        <v>52</v>
      </c>
      <c r="K10" s="41"/>
      <c r="L10" s="41" t="s">
        <v>52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1:24" s="36" customFormat="1">
      <c r="A11" s="40" t="s">
        <v>11</v>
      </c>
      <c r="B11" s="41" t="s">
        <v>52</v>
      </c>
      <c r="C11" s="41"/>
      <c r="D11" s="41"/>
      <c r="E11" s="41"/>
      <c r="F11" s="41"/>
      <c r="G11" s="41"/>
      <c r="H11" s="41"/>
      <c r="I11" s="41"/>
      <c r="J11" s="41" t="s">
        <v>52</v>
      </c>
      <c r="K11" s="41"/>
      <c r="L11" s="41" t="s">
        <v>52</v>
      </c>
      <c r="M11" s="41"/>
      <c r="N11" s="41" t="s">
        <v>52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 spans="1:24" s="36" customFormat="1">
      <c r="A12" s="40" t="s">
        <v>12</v>
      </c>
      <c r="B12" s="41"/>
      <c r="C12" s="41"/>
      <c r="D12" s="41"/>
      <c r="E12" s="41"/>
      <c r="F12" s="41"/>
      <c r="G12" s="41"/>
      <c r="H12" s="41"/>
      <c r="I12" s="41"/>
      <c r="J12" s="41" t="s">
        <v>52</v>
      </c>
      <c r="K12" s="41"/>
      <c r="L12" s="41" t="s">
        <v>52</v>
      </c>
      <c r="M12" s="41"/>
      <c r="N12" s="41" t="s">
        <v>52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1:24" s="36" customFormat="1">
      <c r="A13" s="40" t="s">
        <v>13</v>
      </c>
      <c r="B13" s="41"/>
      <c r="C13" s="41"/>
      <c r="D13" s="41"/>
      <c r="E13" s="41"/>
      <c r="F13" s="41"/>
      <c r="G13" s="41"/>
      <c r="H13" s="41"/>
      <c r="I13" s="41"/>
      <c r="J13" s="41" t="s">
        <v>52</v>
      </c>
      <c r="K13" s="41"/>
      <c r="L13" s="41" t="s">
        <v>52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1:24" s="36" customFormat="1">
      <c r="A14" s="40" t="s">
        <v>14</v>
      </c>
      <c r="B14" s="41"/>
      <c r="C14" s="41"/>
      <c r="D14" s="41"/>
      <c r="E14" s="41"/>
      <c r="F14" s="41"/>
      <c r="G14" s="41"/>
      <c r="H14" s="41"/>
      <c r="I14" s="41"/>
      <c r="J14" s="41" t="s">
        <v>52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1:24" s="36" customFormat="1">
      <c r="A15" s="40" t="s">
        <v>15</v>
      </c>
      <c r="B15" s="41"/>
      <c r="C15" s="41"/>
      <c r="D15" s="41"/>
      <c r="E15" s="41"/>
      <c r="F15" s="41"/>
      <c r="G15" s="41"/>
      <c r="H15" s="41"/>
      <c r="I15" s="41"/>
      <c r="J15" s="41" t="s">
        <v>52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24" s="36" customFormat="1">
      <c r="A16" s="40" t="s">
        <v>16</v>
      </c>
      <c r="B16" s="41"/>
      <c r="C16" s="41"/>
      <c r="D16" s="41"/>
      <c r="E16" s="41"/>
      <c r="F16" s="41"/>
      <c r="G16" s="41"/>
      <c r="H16" s="41"/>
      <c r="I16" s="41"/>
      <c r="J16" s="41" t="s">
        <v>52</v>
      </c>
      <c r="K16" s="41"/>
      <c r="L16" s="41" t="s">
        <v>52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1:24" s="36" customFormat="1">
      <c r="A17" s="40" t="s">
        <v>17</v>
      </c>
      <c r="B17" s="41"/>
      <c r="C17" s="41"/>
      <c r="D17" s="41"/>
      <c r="E17" s="41"/>
      <c r="F17" s="41"/>
      <c r="G17" s="41"/>
      <c r="H17" s="41"/>
      <c r="I17" s="41"/>
      <c r="J17" s="41" t="s">
        <v>52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1:24" s="36" customFormat="1">
      <c r="A18" s="40" t="s">
        <v>18</v>
      </c>
      <c r="B18" s="41"/>
      <c r="C18" s="41"/>
      <c r="D18" s="41"/>
      <c r="E18" s="41"/>
      <c r="F18" s="41"/>
      <c r="G18" s="41" t="s">
        <v>52</v>
      </c>
      <c r="H18" s="41"/>
      <c r="I18" s="41"/>
      <c r="J18" s="41" t="s">
        <v>52</v>
      </c>
      <c r="K18" s="41"/>
      <c r="L18" s="41"/>
      <c r="M18" s="41"/>
      <c r="N18" s="41"/>
      <c r="O18" s="41" t="s">
        <v>52</v>
      </c>
      <c r="P18" s="41"/>
      <c r="Q18" s="41"/>
      <c r="R18" s="41"/>
      <c r="S18" s="41"/>
      <c r="T18" s="41"/>
      <c r="U18" s="41"/>
      <c r="V18" s="41"/>
      <c r="W18" s="41"/>
      <c r="X18" s="41"/>
    </row>
    <row r="19" spans="1:24" s="36" customFormat="1">
      <c r="A19" s="40" t="s">
        <v>19</v>
      </c>
      <c r="B19" s="41"/>
      <c r="C19" s="41"/>
      <c r="D19" s="41"/>
      <c r="E19" s="41"/>
      <c r="F19" s="41"/>
      <c r="G19" s="41"/>
      <c r="H19" s="41"/>
      <c r="I19" s="41"/>
      <c r="J19" s="41" t="s">
        <v>52</v>
      </c>
      <c r="K19" s="41"/>
      <c r="L19" s="41" t="s">
        <v>52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4" ht="15.75" customHeight="1">
      <c r="A20" s="47" t="s">
        <v>20</v>
      </c>
      <c r="B20" s="42"/>
      <c r="C20" s="42"/>
      <c r="D20" s="42"/>
      <c r="E20" s="42"/>
      <c r="F20" s="42"/>
      <c r="G20" s="42"/>
      <c r="H20" s="42"/>
      <c r="I20" s="42"/>
      <c r="J20" s="42" t="s">
        <v>52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spans="1:24" ht="15.75" customHeight="1">
      <c r="A21" s="47" t="s">
        <v>21</v>
      </c>
      <c r="B21" s="42"/>
      <c r="C21" s="42"/>
      <c r="D21" s="42"/>
      <c r="E21" s="42" t="s">
        <v>52</v>
      </c>
      <c r="F21" s="42"/>
      <c r="G21" s="42"/>
      <c r="H21" s="42" t="s">
        <v>52</v>
      </c>
      <c r="I21" s="42"/>
      <c r="J21" s="42" t="s">
        <v>52</v>
      </c>
      <c r="K21" s="42"/>
      <c r="L21" s="42" t="s">
        <v>52</v>
      </c>
      <c r="M21" s="42"/>
      <c r="N21" s="42"/>
      <c r="O21" s="42"/>
      <c r="P21" s="42"/>
      <c r="Q21" s="42"/>
      <c r="R21" s="42"/>
      <c r="S21" s="42" t="s">
        <v>52</v>
      </c>
      <c r="T21" s="42"/>
      <c r="U21" s="42"/>
      <c r="V21" s="42"/>
      <c r="W21" s="42"/>
      <c r="X21" s="42"/>
    </row>
    <row r="22" spans="1:24" ht="15.75" customHeight="1">
      <c r="A22" s="47" t="s">
        <v>22</v>
      </c>
      <c r="B22" s="42"/>
      <c r="C22" s="42"/>
      <c r="D22" s="42"/>
      <c r="E22" s="42"/>
      <c r="F22" s="42"/>
      <c r="G22" s="42"/>
      <c r="H22" s="42"/>
      <c r="I22" s="42"/>
      <c r="J22" s="42" t="s">
        <v>52</v>
      </c>
      <c r="K22" s="42"/>
      <c r="L22" s="42" t="s">
        <v>52</v>
      </c>
      <c r="M22" s="42"/>
      <c r="N22" s="42" t="s">
        <v>52</v>
      </c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4" ht="15.75" customHeight="1">
      <c r="A23" s="47" t="s">
        <v>23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 t="s">
        <v>52</v>
      </c>
      <c r="M23" s="42"/>
      <c r="N23" s="42" t="s">
        <v>52</v>
      </c>
      <c r="O23" s="42"/>
      <c r="P23" s="42"/>
      <c r="Q23" s="42"/>
      <c r="R23" s="42"/>
      <c r="S23" s="42"/>
      <c r="T23" s="42" t="s">
        <v>52</v>
      </c>
      <c r="U23" s="42"/>
      <c r="V23" s="42"/>
      <c r="W23" s="42"/>
      <c r="X23" s="42"/>
    </row>
    <row r="24" spans="1:24" ht="15.75" customHeight="1">
      <c r="A24" s="47" t="s">
        <v>24</v>
      </c>
      <c r="B24" s="42"/>
      <c r="C24" s="42"/>
      <c r="D24" s="42"/>
      <c r="E24" s="42"/>
      <c r="F24" s="42"/>
      <c r="G24" s="42" t="s">
        <v>52</v>
      </c>
      <c r="H24" s="42"/>
      <c r="I24" s="42"/>
      <c r="J24" s="42" t="s">
        <v>52</v>
      </c>
      <c r="K24" s="42"/>
      <c r="L24" s="42" t="s">
        <v>52</v>
      </c>
      <c r="M24" s="42"/>
      <c r="N24" s="42"/>
      <c r="O24" s="42"/>
      <c r="P24" s="42"/>
      <c r="Q24" s="42"/>
      <c r="R24" s="42"/>
      <c r="S24" s="42"/>
      <c r="T24" s="42"/>
      <c r="U24" s="42" t="s">
        <v>52</v>
      </c>
      <c r="V24" s="42"/>
      <c r="W24" s="42"/>
      <c r="X24" s="42"/>
    </row>
    <row r="25" spans="1:24" ht="15.75" customHeight="1">
      <c r="A25" s="47" t="s">
        <v>25</v>
      </c>
      <c r="B25" s="42"/>
      <c r="C25" s="42"/>
      <c r="D25" s="42"/>
      <c r="E25" s="42"/>
      <c r="F25" s="42"/>
      <c r="G25" s="42"/>
      <c r="H25" s="42"/>
      <c r="I25" s="42"/>
      <c r="J25" s="42" t="s">
        <v>52</v>
      </c>
      <c r="K25" s="42"/>
      <c r="L25" s="42"/>
      <c r="M25" s="42"/>
      <c r="N25" s="42" t="s">
        <v>52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4" ht="15.75" customHeight="1">
      <c r="A26" s="47" t="s">
        <v>26</v>
      </c>
      <c r="B26" s="42" t="s">
        <v>52</v>
      </c>
      <c r="C26" s="42"/>
      <c r="D26" s="42"/>
      <c r="E26" s="42"/>
      <c r="F26" s="42"/>
      <c r="G26" s="42"/>
      <c r="H26" s="42"/>
      <c r="I26" s="42"/>
      <c r="J26" s="42" t="s">
        <v>52</v>
      </c>
      <c r="K26" s="42"/>
      <c r="L26" s="42"/>
      <c r="M26" s="42"/>
      <c r="N26" s="42" t="s">
        <v>52</v>
      </c>
      <c r="O26" s="42"/>
      <c r="P26" s="42"/>
      <c r="Q26" s="42"/>
      <c r="R26" s="42" t="s">
        <v>52</v>
      </c>
      <c r="S26" s="42"/>
      <c r="T26" s="42"/>
      <c r="U26" s="42"/>
      <c r="V26" s="42" t="s">
        <v>52</v>
      </c>
      <c r="W26" s="42" t="s">
        <v>52</v>
      </c>
      <c r="X26" s="42"/>
    </row>
    <row r="27" spans="1:24" ht="15.75" customHeight="1">
      <c r="A27" s="47" t="s">
        <v>27</v>
      </c>
      <c r="B27" s="42" t="s">
        <v>52</v>
      </c>
      <c r="C27" s="42"/>
      <c r="D27" s="42"/>
      <c r="E27" s="42"/>
      <c r="F27" s="42" t="s">
        <v>52</v>
      </c>
      <c r="G27" s="42"/>
      <c r="H27" s="42"/>
      <c r="I27" s="42"/>
      <c r="J27" s="42" t="s">
        <v>52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282-B867-4B4D-8E27-18422EA25ABE}">
  <dimension ref="A1:V9"/>
  <sheetViews>
    <sheetView workbookViewId="0"/>
  </sheetViews>
  <sheetFormatPr defaultColWidth="0" defaultRowHeight="15"/>
  <cols>
    <col min="1" max="1" width="21.42578125" bestFit="1" customWidth="1"/>
    <col min="2" max="2" width="12.85546875" bestFit="1" customWidth="1"/>
    <col min="3" max="3" width="27.42578125" bestFit="1" customWidth="1"/>
    <col min="4" max="4" width="18.42578125" bestFit="1" customWidth="1"/>
    <col min="5" max="5" width="12.28515625" bestFit="1" customWidth="1"/>
    <col min="6" max="6" width="12.5703125" bestFit="1" customWidth="1"/>
    <col min="7" max="7" width="16.85546875" bestFit="1" customWidth="1"/>
    <col min="8" max="8" width="13.42578125" bestFit="1" customWidth="1"/>
    <col min="9" max="9" width="22.7109375" bestFit="1" customWidth="1"/>
    <col min="10" max="10" width="22" bestFit="1" customWidth="1"/>
    <col min="11" max="11" width="16.28515625" bestFit="1" customWidth="1"/>
    <col min="12" max="12" width="23.140625" bestFit="1" customWidth="1"/>
    <col min="13" max="13" width="11.7109375" bestFit="1" customWidth="1"/>
    <col min="14" max="14" width="14.28515625" bestFit="1" customWidth="1"/>
    <col min="15" max="15" width="11" bestFit="1" customWidth="1"/>
    <col min="16" max="16" width="14.28515625" bestFit="1" customWidth="1"/>
    <col min="17" max="17" width="21.85546875" bestFit="1" customWidth="1"/>
    <col min="18" max="18" width="23.5703125" bestFit="1" customWidth="1"/>
    <col min="19" max="19" width="27.85546875" bestFit="1" customWidth="1"/>
    <col min="20" max="20" width="23.42578125" bestFit="1" customWidth="1"/>
    <col min="21" max="21" width="27.85546875" hidden="1"/>
    <col min="22" max="22" width="23.42578125" hidden="1"/>
  </cols>
  <sheetData>
    <row r="1" spans="1:20" ht="15.75">
      <c r="A1" s="21" t="s">
        <v>68</v>
      </c>
      <c r="B1" s="32" t="s">
        <v>69</v>
      </c>
      <c r="C1" s="30" t="s">
        <v>37</v>
      </c>
      <c r="D1" s="30" t="s">
        <v>70</v>
      </c>
      <c r="E1" s="26" t="s">
        <v>41</v>
      </c>
      <c r="F1" s="26" t="s">
        <v>35</v>
      </c>
      <c r="G1" s="26" t="s">
        <v>71</v>
      </c>
      <c r="H1" s="26" t="s">
        <v>72</v>
      </c>
      <c r="I1" s="26" t="s">
        <v>73</v>
      </c>
      <c r="J1" s="34" t="s">
        <v>34</v>
      </c>
      <c r="K1" s="28" t="s">
        <v>74</v>
      </c>
      <c r="L1" s="26" t="s">
        <v>75</v>
      </c>
      <c r="M1" s="34" t="s">
        <v>42</v>
      </c>
    </row>
    <row r="2" spans="1:20" ht="15.75">
      <c r="A2" s="24" t="s">
        <v>2</v>
      </c>
      <c r="B2" s="24"/>
      <c r="C2" s="25" t="s">
        <v>52</v>
      </c>
      <c r="D2" s="25" t="s">
        <v>52</v>
      </c>
      <c r="E2" s="25" t="s">
        <v>52</v>
      </c>
      <c r="F2" s="25" t="s">
        <v>52</v>
      </c>
      <c r="G2" s="25" t="s">
        <v>52</v>
      </c>
      <c r="H2" s="25"/>
      <c r="I2" s="25"/>
      <c r="J2" s="25"/>
      <c r="K2" s="25"/>
      <c r="L2" s="25"/>
      <c r="M2" s="25"/>
    </row>
    <row r="5" spans="1:20" ht="18.75">
      <c r="A5" s="1" t="s">
        <v>28</v>
      </c>
      <c r="B5" s="27" t="s">
        <v>35</v>
      </c>
      <c r="C5" s="31" t="s">
        <v>36</v>
      </c>
      <c r="D5" s="27" t="s">
        <v>76</v>
      </c>
      <c r="E5" s="31" t="s">
        <v>43</v>
      </c>
      <c r="F5" s="31" t="s">
        <v>77</v>
      </c>
      <c r="G5" s="31" t="s">
        <v>78</v>
      </c>
      <c r="H5" s="27" t="s">
        <v>71</v>
      </c>
      <c r="I5" s="31" t="s">
        <v>33</v>
      </c>
      <c r="J5" s="29" t="s">
        <v>79</v>
      </c>
      <c r="K5" s="29" t="s">
        <v>74</v>
      </c>
      <c r="L5" s="31" t="s">
        <v>40</v>
      </c>
      <c r="M5" s="27" t="s">
        <v>38</v>
      </c>
      <c r="N5" s="27" t="s">
        <v>80</v>
      </c>
      <c r="O5" s="27" t="s">
        <v>37</v>
      </c>
      <c r="P5" s="27" t="s">
        <v>39</v>
      </c>
      <c r="Q5" s="31" t="s">
        <v>81</v>
      </c>
      <c r="R5" s="27" t="s">
        <v>82</v>
      </c>
      <c r="S5" s="33" t="s">
        <v>83</v>
      </c>
      <c r="T5" s="33" t="s">
        <v>84</v>
      </c>
    </row>
    <row r="6" spans="1:20" ht="18.75">
      <c r="A6" s="17" t="s">
        <v>2</v>
      </c>
      <c r="B6" s="20" t="s">
        <v>85</v>
      </c>
      <c r="C6" s="19" t="s">
        <v>86</v>
      </c>
      <c r="D6" s="19" t="s">
        <v>86</v>
      </c>
      <c r="E6" s="19" t="s">
        <v>86</v>
      </c>
      <c r="F6" s="19" t="s">
        <v>86</v>
      </c>
      <c r="G6" s="20" t="s">
        <v>85</v>
      </c>
      <c r="H6" s="19" t="s">
        <v>86</v>
      </c>
      <c r="I6" s="19" t="s">
        <v>86</v>
      </c>
      <c r="J6" s="19" t="s">
        <v>86</v>
      </c>
      <c r="K6" s="19" t="s">
        <v>86</v>
      </c>
      <c r="L6" s="19" t="s">
        <v>86</v>
      </c>
      <c r="M6" s="20" t="s">
        <v>85</v>
      </c>
      <c r="N6" s="20" t="s">
        <v>85</v>
      </c>
      <c r="O6" s="20" t="s">
        <v>85</v>
      </c>
      <c r="P6" s="19" t="s">
        <v>86</v>
      </c>
      <c r="Q6" s="19" t="s">
        <v>86</v>
      </c>
      <c r="R6" s="19" t="s">
        <v>86</v>
      </c>
      <c r="S6" s="19" t="s">
        <v>86</v>
      </c>
      <c r="T6" s="19" t="s">
        <v>86</v>
      </c>
    </row>
    <row r="9" spans="1:20">
      <c r="C9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0473-8177-4038-99FB-8EFBED09FD00}">
  <dimension ref="A1:M74"/>
  <sheetViews>
    <sheetView workbookViewId="0">
      <selection activeCell="C1" sqref="C1"/>
    </sheetView>
  </sheetViews>
  <sheetFormatPr defaultColWidth="9.140625" defaultRowHeight="18.75" customHeight="1"/>
  <cols>
    <col min="1" max="1" width="22.42578125" style="2" customWidth="1"/>
    <col min="2" max="3" width="67.28515625" style="2" customWidth="1"/>
    <col min="4" max="4" width="12.85546875" style="2" bestFit="1" customWidth="1"/>
    <col min="5" max="5" width="15" style="2" bestFit="1" customWidth="1"/>
    <col min="6" max="6" width="15" style="2" customWidth="1"/>
    <col min="7" max="7" width="11" style="2" bestFit="1" customWidth="1"/>
    <col min="8" max="9" width="19.7109375" style="2" customWidth="1"/>
    <col min="10" max="10" width="10.85546875" style="2" bestFit="1" customWidth="1"/>
    <col min="11" max="11" width="9.140625" style="2" customWidth="1"/>
    <col min="12" max="16384" width="9.140625" style="2"/>
  </cols>
  <sheetData>
    <row r="1" spans="1:13" ht="18.75" customHeight="1">
      <c r="A1" s="21" t="s">
        <v>68</v>
      </c>
      <c r="B1" s="21" t="s">
        <v>61</v>
      </c>
      <c r="C1" s="22" t="s">
        <v>37</v>
      </c>
      <c r="D1" s="22" t="s">
        <v>70</v>
      </c>
      <c r="E1" s="23" t="s">
        <v>41</v>
      </c>
      <c r="F1" s="23" t="s">
        <v>35</v>
      </c>
      <c r="G1" s="23" t="s">
        <v>71</v>
      </c>
      <c r="H1" s="23" t="s">
        <v>72</v>
      </c>
      <c r="I1" s="23" t="s">
        <v>73</v>
      </c>
      <c r="J1" s="23" t="s">
        <v>34</v>
      </c>
      <c r="K1" s="23" t="s">
        <v>74</v>
      </c>
      <c r="L1" s="23" t="s">
        <v>75</v>
      </c>
      <c r="M1" s="23" t="s">
        <v>42</v>
      </c>
    </row>
    <row r="2" spans="1:13" ht="18.75" customHeight="1">
      <c r="A2" s="24" t="s">
        <v>2</v>
      </c>
      <c r="B2" s="24"/>
      <c r="C2" s="25" t="s">
        <v>52</v>
      </c>
      <c r="D2" s="25" t="s">
        <v>52</v>
      </c>
      <c r="E2" s="25" t="s">
        <v>52</v>
      </c>
      <c r="F2" s="25" t="s">
        <v>52</v>
      </c>
      <c r="G2" s="25" t="s">
        <v>52</v>
      </c>
      <c r="H2" s="25"/>
      <c r="I2" s="25"/>
      <c r="J2" s="25"/>
      <c r="K2" s="25"/>
      <c r="L2" s="25"/>
      <c r="M2" s="25"/>
    </row>
    <row r="3" spans="1:13" ht="18.75" customHeight="1">
      <c r="A3" s="24" t="s">
        <v>3</v>
      </c>
      <c r="B3" s="24"/>
      <c r="C3" s="25"/>
      <c r="D3" s="25"/>
      <c r="E3" s="25"/>
      <c r="F3" s="25" t="s">
        <v>52</v>
      </c>
      <c r="G3" s="25"/>
      <c r="H3" s="25" t="s">
        <v>52</v>
      </c>
      <c r="I3" s="25"/>
      <c r="J3" s="25"/>
      <c r="K3" s="25" t="s">
        <v>52</v>
      </c>
      <c r="L3" s="25"/>
      <c r="M3" s="25"/>
    </row>
    <row r="4" spans="1:13" ht="18.75" customHeight="1">
      <c r="A4" s="24" t="s">
        <v>4</v>
      </c>
      <c r="B4" s="24"/>
      <c r="C4" s="25" t="s">
        <v>52</v>
      </c>
      <c r="D4" s="25"/>
      <c r="E4" s="25" t="s">
        <v>52</v>
      </c>
      <c r="F4" s="25"/>
      <c r="G4" s="25"/>
      <c r="H4" s="25"/>
      <c r="I4" s="25" t="s">
        <v>52</v>
      </c>
      <c r="J4" s="25"/>
      <c r="K4" s="25"/>
      <c r="L4" s="25"/>
      <c r="M4" s="25"/>
    </row>
    <row r="5" spans="1:13" ht="18.75" customHeight="1">
      <c r="A5" s="24" t="s">
        <v>5</v>
      </c>
      <c r="B5" s="24"/>
      <c r="C5" s="25" t="s">
        <v>52</v>
      </c>
      <c r="D5" s="25"/>
      <c r="E5" s="25" t="s">
        <v>52</v>
      </c>
      <c r="F5" s="25"/>
      <c r="G5" s="25" t="s">
        <v>52</v>
      </c>
      <c r="H5" s="25" t="s">
        <v>52</v>
      </c>
      <c r="I5" s="25"/>
      <c r="J5" s="25"/>
      <c r="K5" s="25"/>
      <c r="L5" s="25"/>
      <c r="M5" s="25"/>
    </row>
    <row r="6" spans="1:13" ht="18.75" customHeight="1">
      <c r="A6" s="24" t="s">
        <v>6</v>
      </c>
      <c r="B6" s="24"/>
      <c r="C6" s="25"/>
      <c r="D6" s="25"/>
      <c r="E6" s="25"/>
      <c r="F6" s="25" t="s">
        <v>52</v>
      </c>
      <c r="G6" s="25" t="s">
        <v>52</v>
      </c>
      <c r="H6" s="25"/>
      <c r="I6" s="25"/>
      <c r="J6" s="25"/>
      <c r="K6" s="25"/>
      <c r="L6" s="25"/>
      <c r="M6" s="25"/>
    </row>
    <row r="7" spans="1:13" ht="18.75" customHeight="1">
      <c r="A7" s="24" t="s">
        <v>7</v>
      </c>
      <c r="B7" s="24"/>
      <c r="C7" s="25"/>
      <c r="D7" s="25"/>
      <c r="E7" s="25"/>
      <c r="F7" s="25" t="s">
        <v>52</v>
      </c>
      <c r="G7" s="25"/>
      <c r="H7" s="25" t="s">
        <v>52</v>
      </c>
      <c r="I7" s="25"/>
      <c r="J7" s="25"/>
      <c r="K7" s="25"/>
      <c r="L7" s="25"/>
      <c r="M7" s="25"/>
    </row>
    <row r="8" spans="1:13" ht="18.75" customHeight="1">
      <c r="A8" s="24" t="s">
        <v>8</v>
      </c>
      <c r="B8" s="24"/>
      <c r="C8" s="25" t="s">
        <v>52</v>
      </c>
      <c r="D8" s="25"/>
      <c r="E8" s="25"/>
      <c r="F8" s="25"/>
      <c r="G8" s="25"/>
      <c r="H8" s="25"/>
      <c r="I8" s="25"/>
      <c r="J8" s="25"/>
      <c r="K8" s="25"/>
      <c r="L8" s="25" t="s">
        <v>52</v>
      </c>
      <c r="M8" s="25"/>
    </row>
    <row r="9" spans="1:13" ht="18.75" customHeight="1">
      <c r="A9" s="24" t="s">
        <v>9</v>
      </c>
      <c r="B9" s="24" t="s">
        <v>52</v>
      </c>
      <c r="C9" s="25" t="s">
        <v>52</v>
      </c>
      <c r="D9" s="25"/>
      <c r="E9" s="25"/>
      <c r="F9" s="25"/>
      <c r="G9" s="25" t="s">
        <v>52</v>
      </c>
      <c r="H9" s="25"/>
      <c r="I9" s="25"/>
      <c r="J9" s="25"/>
      <c r="K9" s="25"/>
      <c r="L9" s="25" t="s">
        <v>52</v>
      </c>
      <c r="M9" s="25"/>
    </row>
    <row r="10" spans="1:13" ht="18.75" customHeight="1">
      <c r="A10" s="24" t="s">
        <v>10</v>
      </c>
      <c r="B10" s="24"/>
      <c r="C10" s="25" t="s">
        <v>52</v>
      </c>
      <c r="D10" s="25"/>
      <c r="E10" s="25"/>
      <c r="F10" s="25"/>
      <c r="G10" s="25" t="s">
        <v>52</v>
      </c>
      <c r="H10" s="25" t="s">
        <v>52</v>
      </c>
      <c r="I10" s="25"/>
      <c r="J10" s="25"/>
      <c r="K10" s="25"/>
      <c r="L10" s="25"/>
      <c r="M10" s="25"/>
    </row>
    <row r="11" spans="1:13" ht="18.75" customHeight="1">
      <c r="A11" s="24" t="s">
        <v>11</v>
      </c>
      <c r="B11" s="24"/>
      <c r="C11" s="25" t="s">
        <v>52</v>
      </c>
      <c r="D11" s="25"/>
      <c r="E11" s="25" t="s">
        <v>52</v>
      </c>
      <c r="F11" s="25"/>
      <c r="G11" s="25" t="s">
        <v>52</v>
      </c>
      <c r="H11" s="25" t="s">
        <v>52</v>
      </c>
      <c r="I11" s="25"/>
      <c r="J11" s="25"/>
      <c r="K11" s="25"/>
      <c r="L11" s="25"/>
      <c r="M11" s="25"/>
    </row>
    <row r="12" spans="1:13" ht="18.75" customHeight="1">
      <c r="A12" s="24" t="s">
        <v>12</v>
      </c>
      <c r="B12" s="24" t="s">
        <v>52</v>
      </c>
      <c r="C12" s="25"/>
      <c r="D12" s="25"/>
      <c r="E12" s="25" t="s">
        <v>52</v>
      </c>
      <c r="F12" s="25"/>
      <c r="G12" s="25"/>
      <c r="H12" s="25" t="s">
        <v>52</v>
      </c>
      <c r="I12" s="25"/>
      <c r="J12" s="25"/>
      <c r="K12" s="25"/>
      <c r="L12" s="25" t="s">
        <v>52</v>
      </c>
      <c r="M12" s="25"/>
    </row>
    <row r="13" spans="1:13" ht="18.75" customHeight="1">
      <c r="A13" s="24" t="s">
        <v>13</v>
      </c>
      <c r="B13" s="24" t="s">
        <v>52</v>
      </c>
      <c r="C13" s="25" t="s">
        <v>52</v>
      </c>
      <c r="D13" s="25"/>
      <c r="E13" s="25"/>
      <c r="F13" s="25"/>
      <c r="G13" s="25"/>
      <c r="H13" s="25" t="s">
        <v>52</v>
      </c>
      <c r="I13" s="25"/>
      <c r="J13" s="25"/>
      <c r="K13" s="25"/>
      <c r="L13" s="25"/>
      <c r="M13" s="25"/>
    </row>
    <row r="14" spans="1:13" ht="18.75" customHeight="1">
      <c r="A14" s="24" t="s">
        <v>14</v>
      </c>
      <c r="B14" s="24" t="s">
        <v>52</v>
      </c>
      <c r="C14" s="25" t="s">
        <v>52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18.75" customHeight="1">
      <c r="A15" s="24" t="s">
        <v>15</v>
      </c>
      <c r="B15" s="24" t="s">
        <v>52</v>
      </c>
      <c r="C15" s="25" t="s">
        <v>52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8.75" customHeight="1">
      <c r="A16" s="24" t="s">
        <v>16</v>
      </c>
      <c r="B16" s="24" t="s">
        <v>52</v>
      </c>
      <c r="C16" s="25" t="s">
        <v>52</v>
      </c>
      <c r="D16" s="25"/>
      <c r="E16" s="25"/>
      <c r="F16" s="25"/>
      <c r="G16" s="25"/>
      <c r="H16" s="25" t="s">
        <v>52</v>
      </c>
      <c r="I16" s="25"/>
      <c r="J16" s="25"/>
      <c r="K16" s="25"/>
      <c r="L16" s="25"/>
      <c r="M16" s="25"/>
    </row>
    <row r="17" spans="1:13" ht="18.75" customHeight="1">
      <c r="A17" s="24" t="s">
        <v>88</v>
      </c>
      <c r="B17" s="24" t="s">
        <v>52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ht="18.75" customHeight="1">
      <c r="A18" s="24" t="s">
        <v>17</v>
      </c>
      <c r="B18" s="24"/>
      <c r="C18" s="25" t="s">
        <v>52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ht="18.75" customHeight="1">
      <c r="A19" s="24" t="s">
        <v>18</v>
      </c>
      <c r="B19" s="24"/>
      <c r="C19" s="25" t="s">
        <v>52</v>
      </c>
      <c r="D19" s="25"/>
      <c r="E19" s="25"/>
      <c r="F19" s="25"/>
      <c r="G19" s="25"/>
      <c r="H19" s="25"/>
      <c r="I19" s="25"/>
      <c r="J19" s="25" t="s">
        <v>52</v>
      </c>
      <c r="K19" s="25"/>
      <c r="L19" s="25"/>
      <c r="M19" s="25" t="s">
        <v>52</v>
      </c>
    </row>
    <row r="20" spans="1:13" ht="18.75" customHeight="1">
      <c r="A20" s="24" t="s">
        <v>19</v>
      </c>
      <c r="B20" s="24"/>
      <c r="C20" s="25"/>
      <c r="D20" s="25"/>
      <c r="E20" s="25"/>
      <c r="F20" s="25"/>
      <c r="G20" s="25"/>
      <c r="H20" s="25" t="s">
        <v>52</v>
      </c>
      <c r="I20" s="25"/>
      <c r="J20" s="25"/>
      <c r="K20" s="25"/>
      <c r="L20" s="25"/>
      <c r="M20" s="25"/>
    </row>
    <row r="31" spans="1:13"/>
    <row r="32" spans="1:1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ABB2-E5EA-45B1-B70E-40A4FCE4401B}">
  <sheetPr filterMode="1"/>
  <dimension ref="A1:Y74"/>
  <sheetViews>
    <sheetView tabSelected="1" topLeftCell="P1" workbookViewId="0">
      <selection activeCell="U26" sqref="U26"/>
    </sheetView>
  </sheetViews>
  <sheetFormatPr defaultColWidth="0" defaultRowHeight="18.75" customHeight="1" zeroHeight="1"/>
  <cols>
    <col min="1" max="1" width="22.42578125" style="2" customWidth="1"/>
    <col min="2" max="2" width="67.28515625" style="2" bestFit="1" customWidth="1"/>
    <col min="3" max="3" width="40.28515625" style="2" bestFit="1" customWidth="1"/>
    <col min="4" max="4" width="12.85546875" style="2" bestFit="1" customWidth="1"/>
    <col min="5" max="5" width="27.42578125" style="2" bestFit="1" customWidth="1"/>
    <col min="6" max="6" width="18.42578125" style="2" bestFit="1" customWidth="1"/>
    <col min="7" max="7" width="12.28515625" style="2" bestFit="1" customWidth="1"/>
    <col min="8" max="8" width="12.85546875" style="2" customWidth="1"/>
    <col min="9" max="9" width="16.85546875" style="2" bestFit="1" customWidth="1"/>
    <col min="10" max="10" width="12" style="2" bestFit="1" customWidth="1"/>
    <col min="11" max="11" width="22.7109375" style="2" bestFit="1" customWidth="1"/>
    <col min="12" max="12" width="22.7109375" style="2" customWidth="1"/>
    <col min="13" max="13" width="16.85546875" style="2" customWidth="1"/>
    <col min="14" max="14" width="23.140625" style="2" bestFit="1" customWidth="1"/>
    <col min="15" max="16" width="12.85546875" style="2" customWidth="1"/>
    <col min="17" max="17" width="11" style="2" bestFit="1" customWidth="1"/>
    <col min="18" max="18" width="14.28515625" style="2" bestFit="1" customWidth="1"/>
    <col min="19" max="19" width="21.85546875" style="2" bestFit="1" customWidth="1"/>
    <col min="20" max="20" width="23.5703125" style="2" bestFit="1" customWidth="1"/>
    <col min="21" max="21" width="27.85546875" style="2" bestFit="1" customWidth="1"/>
    <col min="22" max="22" width="27.85546875" style="2" customWidth="1"/>
    <col min="23" max="23" width="19.7109375" style="2" customWidth="1"/>
    <col min="24" max="24" width="19.7109375" style="2" hidden="1" customWidth="1"/>
    <col min="25" max="25" width="134.42578125" style="2" hidden="1" customWidth="1"/>
    <col min="26" max="26" width="0" style="2" hidden="1" bestFit="1" customWidth="1"/>
    <col min="27" max="16384" width="0" style="2" hidden="1"/>
  </cols>
  <sheetData>
    <row r="1" spans="1:25">
      <c r="A1" s="1" t="s">
        <v>28</v>
      </c>
      <c r="B1" s="8" t="s">
        <v>89</v>
      </c>
      <c r="C1" s="8" t="s">
        <v>90</v>
      </c>
      <c r="D1" s="18" t="s">
        <v>35</v>
      </c>
      <c r="E1" s="18" t="s">
        <v>36</v>
      </c>
      <c r="F1" s="18" t="s">
        <v>76</v>
      </c>
      <c r="G1" s="18" t="s">
        <v>43</v>
      </c>
      <c r="H1" s="18" t="s">
        <v>77</v>
      </c>
      <c r="I1" s="18" t="s">
        <v>78</v>
      </c>
      <c r="J1" s="18" t="s">
        <v>71</v>
      </c>
      <c r="K1" s="18" t="s">
        <v>33</v>
      </c>
      <c r="L1" s="18" t="s">
        <v>79</v>
      </c>
      <c r="M1" s="18" t="s">
        <v>74</v>
      </c>
      <c r="N1" s="18" t="s">
        <v>40</v>
      </c>
      <c r="O1" s="18" t="s">
        <v>38</v>
      </c>
      <c r="P1" s="18" t="s">
        <v>80</v>
      </c>
      <c r="Q1" s="18" t="s">
        <v>37</v>
      </c>
      <c r="R1" s="18" t="s">
        <v>39</v>
      </c>
      <c r="S1" s="18" t="s">
        <v>81</v>
      </c>
      <c r="T1" s="18" t="s">
        <v>91</v>
      </c>
      <c r="U1" s="18" t="s">
        <v>83</v>
      </c>
      <c r="V1" s="18" t="s">
        <v>84</v>
      </c>
      <c r="W1" s="8" t="s">
        <v>92</v>
      </c>
      <c r="X1" s="8" t="s">
        <v>93</v>
      </c>
      <c r="Y1" s="1" t="s">
        <v>94</v>
      </c>
    </row>
    <row r="2" spans="1:25" hidden="1">
      <c r="A2" s="17" t="s">
        <v>95</v>
      </c>
      <c r="B2" s="5" t="s">
        <v>96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X2" s="13"/>
      <c r="Y2" s="3" t="s">
        <v>97</v>
      </c>
    </row>
    <row r="3" spans="1:25" hidden="1">
      <c r="A3" s="17" t="s">
        <v>98</v>
      </c>
      <c r="B3" s="5" t="s">
        <v>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"/>
      <c r="X3" s="13"/>
      <c r="Y3" s="3" t="s">
        <v>100</v>
      </c>
    </row>
    <row r="4" spans="1:25" hidden="1">
      <c r="A4" s="17" t="s">
        <v>101</v>
      </c>
      <c r="B4" s="6" t="s">
        <v>102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1"/>
      <c r="X4" s="14"/>
      <c r="Y4" s="3" t="s">
        <v>103</v>
      </c>
    </row>
    <row r="5" spans="1:25" hidden="1">
      <c r="A5" s="17" t="s">
        <v>104</v>
      </c>
      <c r="B5" s="6" t="s">
        <v>105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6"/>
      <c r="X5" s="14"/>
      <c r="Y5" s="3" t="s">
        <v>106</v>
      </c>
    </row>
    <row r="6" spans="1:25">
      <c r="A6" s="17" t="s">
        <v>2</v>
      </c>
      <c r="B6" s="6"/>
      <c r="C6" s="6"/>
      <c r="D6" s="68" t="s">
        <v>52</v>
      </c>
      <c r="E6" s="69"/>
      <c r="F6" s="69"/>
      <c r="G6" s="69"/>
      <c r="H6" s="69"/>
      <c r="I6" s="68" t="s">
        <v>52</v>
      </c>
      <c r="J6" s="69"/>
      <c r="K6" s="69"/>
      <c r="L6" s="69"/>
      <c r="M6" s="69"/>
      <c r="N6" s="69"/>
      <c r="O6" s="68" t="s">
        <v>52</v>
      </c>
      <c r="P6" s="68" t="s">
        <v>52</v>
      </c>
      <c r="Q6" s="68" t="s">
        <v>52</v>
      </c>
      <c r="R6" s="69"/>
      <c r="S6" s="69"/>
      <c r="T6" s="69"/>
      <c r="U6" s="69"/>
      <c r="V6" s="69"/>
      <c r="W6" s="16" t="s">
        <v>107</v>
      </c>
      <c r="X6" s="14"/>
      <c r="Y6" s="3"/>
    </row>
    <row r="7" spans="1:25" hidden="1">
      <c r="A7" s="17" t="s">
        <v>108</v>
      </c>
      <c r="B7" s="6" t="s">
        <v>109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1"/>
      <c r="X7" s="14"/>
      <c r="Y7" s="3" t="s">
        <v>110</v>
      </c>
    </row>
    <row r="8" spans="1:25" hidden="1">
      <c r="A8" s="17" t="s">
        <v>111</v>
      </c>
      <c r="B8" s="6" t="s">
        <v>112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1"/>
      <c r="X8" s="14"/>
      <c r="Y8" s="3" t="s">
        <v>113</v>
      </c>
    </row>
    <row r="9" spans="1:25">
      <c r="A9" s="17" t="s">
        <v>3</v>
      </c>
      <c r="B9" s="6"/>
      <c r="C9" s="6" t="s">
        <v>114</v>
      </c>
      <c r="D9" s="69" t="s">
        <v>52</v>
      </c>
      <c r="E9" s="68" t="s">
        <v>52</v>
      </c>
      <c r="F9" s="69" t="s">
        <v>52</v>
      </c>
      <c r="G9" s="69" t="s">
        <v>52</v>
      </c>
      <c r="H9" s="69" t="s">
        <v>52</v>
      </c>
      <c r="I9" s="69"/>
      <c r="J9" s="69" t="s">
        <v>52</v>
      </c>
      <c r="K9" s="68" t="s">
        <v>52</v>
      </c>
      <c r="L9" s="69"/>
      <c r="M9" s="69" t="s">
        <v>52</v>
      </c>
      <c r="N9" s="69" t="s">
        <v>52</v>
      </c>
      <c r="O9" s="69"/>
      <c r="P9" s="68" t="s">
        <v>52</v>
      </c>
      <c r="Q9" s="69" t="s">
        <v>52</v>
      </c>
      <c r="R9" s="69"/>
      <c r="S9" s="69"/>
      <c r="T9" s="69"/>
      <c r="U9" s="69"/>
      <c r="V9" s="69"/>
      <c r="W9" s="3" t="s">
        <v>115</v>
      </c>
      <c r="X9" s="14"/>
      <c r="Y9" s="3"/>
    </row>
    <row r="10" spans="1:25" hidden="1">
      <c r="A10" s="17" t="s">
        <v>116</v>
      </c>
      <c r="B10" s="6" t="s">
        <v>117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1"/>
      <c r="X10" s="14"/>
      <c r="Y10" s="3" t="s">
        <v>118</v>
      </c>
    </row>
    <row r="11" spans="1:25" hidden="1">
      <c r="A11" s="17" t="s">
        <v>119</v>
      </c>
      <c r="B11" s="6" t="s">
        <v>120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1"/>
      <c r="X11" s="14"/>
      <c r="Y11" s="3" t="s">
        <v>110</v>
      </c>
    </row>
    <row r="12" spans="1:25" hidden="1">
      <c r="A12" s="17" t="s">
        <v>121</v>
      </c>
      <c r="B12" s="6" t="s">
        <v>122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1"/>
      <c r="X12" s="14"/>
      <c r="Y12" s="3" t="s">
        <v>123</v>
      </c>
    </row>
    <row r="13" spans="1:25" hidden="1">
      <c r="A13" s="17" t="s">
        <v>124</v>
      </c>
      <c r="B13" s="6" t="s">
        <v>125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1"/>
      <c r="X13" s="14"/>
      <c r="Y13" s="3" t="s">
        <v>113</v>
      </c>
    </row>
    <row r="14" spans="1:25" hidden="1">
      <c r="A14" s="17" t="s">
        <v>126</v>
      </c>
      <c r="B14" s="6" t="s">
        <v>127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1"/>
      <c r="X14" s="14"/>
      <c r="Y14" s="3" t="s">
        <v>128</v>
      </c>
    </row>
    <row r="15" spans="1:25">
      <c r="A15" s="17" t="s">
        <v>4</v>
      </c>
      <c r="B15" s="5" t="s">
        <v>129</v>
      </c>
      <c r="C15" s="5"/>
      <c r="D15" s="69"/>
      <c r="E15" s="69"/>
      <c r="F15" s="69" t="s">
        <v>52</v>
      </c>
      <c r="G15" s="69"/>
      <c r="H15" s="69" t="s">
        <v>52</v>
      </c>
      <c r="I15" s="69"/>
      <c r="J15" s="69"/>
      <c r="K15" s="69"/>
      <c r="L15" s="69"/>
      <c r="M15" s="69"/>
      <c r="N15" s="69"/>
      <c r="O15" s="69"/>
      <c r="P15" s="69" t="s">
        <v>52</v>
      </c>
      <c r="Q15" s="69"/>
      <c r="R15" s="69"/>
      <c r="S15" s="68" t="s">
        <v>52</v>
      </c>
      <c r="T15" s="69"/>
      <c r="U15" s="69"/>
      <c r="V15" s="69"/>
      <c r="W15" s="3" t="s">
        <v>130</v>
      </c>
      <c r="X15" s="13"/>
      <c r="Y15" s="3" t="s">
        <v>131</v>
      </c>
    </row>
    <row r="16" spans="1:25">
      <c r="A16" s="17" t="s">
        <v>5</v>
      </c>
      <c r="B16" s="5" t="s">
        <v>132</v>
      </c>
      <c r="C16" s="5"/>
      <c r="D16" s="69"/>
      <c r="E16" s="69"/>
      <c r="F16" s="69"/>
      <c r="G16" s="69"/>
      <c r="H16" s="69"/>
      <c r="I16" s="69"/>
      <c r="J16" s="68" t="s">
        <v>52</v>
      </c>
      <c r="K16" s="69"/>
      <c r="L16" s="69"/>
      <c r="M16" s="69"/>
      <c r="N16" s="69"/>
      <c r="O16" s="69"/>
      <c r="P16" s="68" t="s">
        <v>52</v>
      </c>
      <c r="Q16" s="68" t="s">
        <v>52</v>
      </c>
      <c r="R16" s="69"/>
      <c r="S16" s="68" t="s">
        <v>52</v>
      </c>
      <c r="T16" s="68" t="s">
        <v>52</v>
      </c>
      <c r="U16" s="69"/>
      <c r="V16" s="69"/>
      <c r="W16" s="3" t="s">
        <v>130</v>
      </c>
      <c r="X16" s="13"/>
      <c r="Y16" s="3" t="s">
        <v>123</v>
      </c>
    </row>
    <row r="17" spans="1:25">
      <c r="A17" s="17" t="s">
        <v>6</v>
      </c>
      <c r="B17" s="5" t="s">
        <v>109</v>
      </c>
      <c r="C17" s="5"/>
      <c r="D17" s="69"/>
      <c r="E17" s="68" t="s">
        <v>52</v>
      </c>
      <c r="F17" s="69"/>
      <c r="G17" s="69"/>
      <c r="H17" s="69"/>
      <c r="I17" s="69"/>
      <c r="J17" s="68" t="s">
        <v>52</v>
      </c>
      <c r="K17" s="68" t="s">
        <v>52</v>
      </c>
      <c r="L17" s="69"/>
      <c r="M17" s="69"/>
      <c r="N17" s="69"/>
      <c r="O17" s="69"/>
      <c r="P17" s="69"/>
      <c r="Q17" s="68" t="s">
        <v>52</v>
      </c>
      <c r="R17" s="69"/>
      <c r="S17" s="69"/>
      <c r="T17" s="69"/>
      <c r="U17" s="69"/>
      <c r="V17" s="69"/>
      <c r="W17" s="3" t="s">
        <v>133</v>
      </c>
      <c r="X17" s="13"/>
      <c r="Y17" s="3" t="s">
        <v>134</v>
      </c>
    </row>
    <row r="18" spans="1:25" hidden="1">
      <c r="A18" s="17" t="s">
        <v>135</v>
      </c>
      <c r="B18" s="5" t="s">
        <v>136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6"/>
      <c r="X18" s="13"/>
      <c r="Y18" s="3" t="s">
        <v>137</v>
      </c>
    </row>
    <row r="19" spans="1:25">
      <c r="A19" s="17" t="s">
        <v>7</v>
      </c>
      <c r="B19" s="5"/>
      <c r="C19" s="5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8" t="s">
        <v>52</v>
      </c>
      <c r="V19" s="69"/>
      <c r="W19" s="16" t="s">
        <v>138</v>
      </c>
      <c r="X19" s="13"/>
      <c r="Y19" s="3"/>
    </row>
    <row r="20" spans="1:25" hidden="1">
      <c r="A20" s="17" t="s">
        <v>139</v>
      </c>
      <c r="B20" s="5" t="s">
        <v>140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X20" s="13"/>
      <c r="Y20" s="3" t="s">
        <v>141</v>
      </c>
    </row>
    <row r="21" spans="1:25" hidden="1">
      <c r="A21" s="17" t="s">
        <v>142</v>
      </c>
      <c r="B21" s="5" t="s">
        <v>143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X21" s="13"/>
      <c r="Y21" s="3" t="s">
        <v>123</v>
      </c>
    </row>
    <row r="22" spans="1:25" hidden="1">
      <c r="A22" s="17" t="s">
        <v>144</v>
      </c>
      <c r="B22" s="5" t="s">
        <v>109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3"/>
      <c r="X22" s="13"/>
      <c r="Y22" s="3" t="s">
        <v>123</v>
      </c>
    </row>
    <row r="23" spans="1:25" hidden="1">
      <c r="A23" s="17" t="s">
        <v>145</v>
      </c>
      <c r="B23" s="5" t="s">
        <v>146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X23" s="13"/>
      <c r="Y23" s="3" t="s">
        <v>147</v>
      </c>
    </row>
    <row r="24" spans="1:25" hidden="1">
      <c r="A24" s="17" t="s">
        <v>148</v>
      </c>
      <c r="B24" s="5" t="s">
        <v>149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X24" s="13"/>
      <c r="Y24" s="3" t="s">
        <v>150</v>
      </c>
    </row>
    <row r="25" spans="1:25" hidden="1">
      <c r="A25" s="17" t="s">
        <v>151</v>
      </c>
      <c r="B25" s="5" t="s">
        <v>152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X25" s="13"/>
      <c r="Y25" s="3" t="s">
        <v>153</v>
      </c>
    </row>
    <row r="26" spans="1:25">
      <c r="A26" s="17" t="s">
        <v>8</v>
      </c>
      <c r="B26" s="6" t="s">
        <v>154</v>
      </c>
      <c r="C26" s="6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8" t="s">
        <v>52</v>
      </c>
      <c r="R26" s="69"/>
      <c r="S26" s="68" t="s">
        <v>52</v>
      </c>
      <c r="T26" s="68" t="s">
        <v>52</v>
      </c>
      <c r="U26" s="69"/>
      <c r="V26" s="69"/>
      <c r="W26" s="3" t="s">
        <v>130</v>
      </c>
      <c r="X26" s="13"/>
      <c r="Y26" s="3" t="s">
        <v>155</v>
      </c>
    </row>
    <row r="27" spans="1:25" hidden="1">
      <c r="A27" s="17" t="s">
        <v>156</v>
      </c>
      <c r="B27" s="5" t="s">
        <v>157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X27" s="13"/>
      <c r="Y27" s="3" t="s">
        <v>128</v>
      </c>
    </row>
    <row r="28" spans="1:25" hidden="1">
      <c r="A28" s="17" t="s">
        <v>158</v>
      </c>
      <c r="B28" s="5" t="s">
        <v>159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3"/>
      <c r="X28" s="13"/>
      <c r="Y28" s="3" t="s">
        <v>160</v>
      </c>
    </row>
    <row r="29" spans="1:25" hidden="1">
      <c r="A29" s="17" t="s">
        <v>161</v>
      </c>
      <c r="B29" s="5" t="s">
        <v>162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X29" s="13"/>
      <c r="Y29" s="3" t="s">
        <v>163</v>
      </c>
    </row>
    <row r="30" spans="1:25">
      <c r="A30" s="17" t="s">
        <v>9</v>
      </c>
      <c r="B30" s="5"/>
      <c r="C30" s="5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8" t="s">
        <v>52</v>
      </c>
      <c r="R30" s="69"/>
      <c r="S30" s="68" t="s">
        <v>52</v>
      </c>
      <c r="T30" s="68" t="s">
        <v>52</v>
      </c>
      <c r="U30" s="69"/>
      <c r="V30" s="69"/>
      <c r="W30" s="3" t="s">
        <v>164</v>
      </c>
      <c r="X30" s="13"/>
      <c r="Y30" s="3"/>
    </row>
    <row r="31" spans="1:25" hidden="1">
      <c r="A31" s="17" t="s">
        <v>165</v>
      </c>
      <c r="B31" s="5" t="s">
        <v>166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X31" s="13"/>
      <c r="Y31" s="3" t="s">
        <v>113</v>
      </c>
    </row>
    <row r="32" spans="1:25">
      <c r="A32" s="17" t="s">
        <v>10</v>
      </c>
      <c r="B32" s="5" t="s">
        <v>167</v>
      </c>
      <c r="C32" s="5"/>
      <c r="D32" s="69"/>
      <c r="E32" s="69"/>
      <c r="F32" s="69"/>
      <c r="G32" s="69"/>
      <c r="H32" s="69"/>
      <c r="I32" s="69"/>
      <c r="J32" s="68" t="s">
        <v>52</v>
      </c>
      <c r="K32" s="69"/>
      <c r="L32" s="69"/>
      <c r="M32" s="69"/>
      <c r="N32" s="69"/>
      <c r="O32" s="69"/>
      <c r="P32" s="69"/>
      <c r="Q32" s="68" t="s">
        <v>52</v>
      </c>
      <c r="R32" s="68" t="s">
        <v>52</v>
      </c>
      <c r="S32" s="69"/>
      <c r="T32" s="68" t="s">
        <v>52</v>
      </c>
      <c r="U32" s="69"/>
      <c r="V32" s="69"/>
      <c r="W32" s="16" t="s">
        <v>130</v>
      </c>
      <c r="X32" s="13"/>
      <c r="Y32" s="3" t="s">
        <v>113</v>
      </c>
    </row>
    <row r="33" spans="1:25">
      <c r="A33" s="17" t="s">
        <v>11</v>
      </c>
      <c r="B33" s="5" t="s">
        <v>109</v>
      </c>
      <c r="C33" s="5"/>
      <c r="D33" s="69"/>
      <c r="E33" s="69"/>
      <c r="F33" s="68" t="s">
        <v>52</v>
      </c>
      <c r="G33" s="69"/>
      <c r="H33" s="69"/>
      <c r="I33" s="68" t="s">
        <v>52</v>
      </c>
      <c r="J33" s="69"/>
      <c r="K33" s="69"/>
      <c r="L33" s="69"/>
      <c r="M33" s="69"/>
      <c r="N33" s="69"/>
      <c r="O33" s="69"/>
      <c r="P33" s="69"/>
      <c r="Q33" s="69"/>
      <c r="R33" s="68" t="s">
        <v>52</v>
      </c>
      <c r="S33" s="69"/>
      <c r="T33" s="69"/>
      <c r="U33" s="69"/>
      <c r="V33" s="68" t="s">
        <v>52</v>
      </c>
      <c r="W33" s="3" t="s">
        <v>130</v>
      </c>
      <c r="X33" s="13"/>
      <c r="Y33" s="3" t="s">
        <v>168</v>
      </c>
    </row>
    <row r="34" spans="1:25" hidden="1">
      <c r="A34" s="17" t="s">
        <v>169</v>
      </c>
      <c r="B34" s="5" t="s">
        <v>170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X34" s="13"/>
      <c r="Y34" s="3" t="s">
        <v>123</v>
      </c>
    </row>
    <row r="35" spans="1:25" hidden="1">
      <c r="A35" s="17" t="s">
        <v>171</v>
      </c>
      <c r="B35" s="6" t="s">
        <v>172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1"/>
      <c r="X35" s="14"/>
      <c r="Y35" s="3" t="s">
        <v>128</v>
      </c>
    </row>
    <row r="36" spans="1:25" hidden="1">
      <c r="A36" s="17" t="s">
        <v>173</v>
      </c>
      <c r="B36" s="6" t="s">
        <v>174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1"/>
      <c r="X36" s="14"/>
      <c r="Y36" s="3" t="s">
        <v>123</v>
      </c>
    </row>
    <row r="37" spans="1:25" hidden="1">
      <c r="A37" s="17" t="s">
        <v>175</v>
      </c>
      <c r="B37" s="6" t="s">
        <v>176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1"/>
      <c r="X37" s="14"/>
      <c r="Y37" s="3" t="s">
        <v>177</v>
      </c>
    </row>
    <row r="38" spans="1:25">
      <c r="A38" s="17" t="s">
        <v>12</v>
      </c>
      <c r="B38" s="6" t="s">
        <v>149</v>
      </c>
      <c r="C38" s="6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8" t="s">
        <v>52</v>
      </c>
      <c r="R38" s="69"/>
      <c r="S38" s="68" t="s">
        <v>52</v>
      </c>
      <c r="T38" s="69"/>
      <c r="U38" s="69"/>
      <c r="V38" s="69"/>
      <c r="W38" s="3" t="s">
        <v>130</v>
      </c>
      <c r="X38" s="14"/>
      <c r="Y38" s="3" t="s">
        <v>178</v>
      </c>
    </row>
    <row r="39" spans="1:25" hidden="1">
      <c r="A39" s="17" t="s">
        <v>179</v>
      </c>
      <c r="B39" s="6" t="s">
        <v>180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11"/>
      <c r="X39" s="14"/>
      <c r="Y39" s="3" t="s">
        <v>123</v>
      </c>
    </row>
    <row r="40" spans="1:25" hidden="1">
      <c r="A40" s="17" t="s">
        <v>181</v>
      </c>
      <c r="B40" s="6" t="s">
        <v>182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1"/>
      <c r="X40" s="14"/>
      <c r="Y40" s="3" t="s">
        <v>183</v>
      </c>
    </row>
    <row r="41" spans="1:25" hidden="1">
      <c r="A41" s="17" t="s">
        <v>184</v>
      </c>
      <c r="B41" s="5" t="s">
        <v>185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X41" s="13"/>
      <c r="Y41" s="3" t="s">
        <v>97</v>
      </c>
    </row>
    <row r="42" spans="1:25">
      <c r="A42" s="17" t="s">
        <v>13</v>
      </c>
      <c r="B42" s="5" t="s">
        <v>186</v>
      </c>
      <c r="C42" s="5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8" t="s">
        <v>52</v>
      </c>
      <c r="S42" s="68" t="s">
        <v>52</v>
      </c>
      <c r="T42" s="69"/>
      <c r="U42" s="69"/>
      <c r="V42" s="69"/>
      <c r="W42" s="3" t="s">
        <v>130</v>
      </c>
      <c r="X42" s="13"/>
      <c r="Y42" s="3" t="s">
        <v>97</v>
      </c>
    </row>
    <row r="43" spans="1:25" hidden="1">
      <c r="A43" s="17" t="s">
        <v>187</v>
      </c>
      <c r="B43" s="5" t="s">
        <v>188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X43" s="13"/>
      <c r="Y43" s="3" t="s">
        <v>189</v>
      </c>
    </row>
    <row r="44" spans="1:25" hidden="1">
      <c r="A44" s="17" t="s">
        <v>190</v>
      </c>
      <c r="B44" s="5" t="s">
        <v>191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X44" s="13"/>
      <c r="Y44" s="3" t="s">
        <v>110</v>
      </c>
    </row>
    <row r="45" spans="1:25" hidden="1">
      <c r="A45" s="17" t="s">
        <v>192</v>
      </c>
      <c r="B45" s="5" t="s">
        <v>193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X45" s="13"/>
      <c r="Y45" s="3" t="s">
        <v>194</v>
      </c>
    </row>
    <row r="46" spans="1:25">
      <c r="A46" s="17" t="s">
        <v>14</v>
      </c>
      <c r="B46" s="5" t="s">
        <v>195</v>
      </c>
      <c r="C46" s="5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8" t="s">
        <v>52</v>
      </c>
      <c r="R46" s="69"/>
      <c r="S46" s="69"/>
      <c r="T46" s="69"/>
      <c r="U46" s="69"/>
      <c r="V46" s="69"/>
      <c r="W46" s="3" t="s">
        <v>196</v>
      </c>
      <c r="X46" s="13"/>
      <c r="Y46" s="3" t="s">
        <v>123</v>
      </c>
    </row>
    <row r="47" spans="1:25" hidden="1">
      <c r="A47" s="17" t="s">
        <v>197</v>
      </c>
      <c r="B47" s="5" t="s">
        <v>198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X47" s="13"/>
      <c r="Y47" s="3" t="s">
        <v>123</v>
      </c>
    </row>
    <row r="48" spans="1:25">
      <c r="A48" s="17" t="s">
        <v>15</v>
      </c>
      <c r="B48" s="5"/>
      <c r="C48" s="5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8" t="s">
        <v>52</v>
      </c>
      <c r="R48" s="69"/>
      <c r="S48" s="69"/>
      <c r="T48" s="69"/>
      <c r="U48" s="69"/>
      <c r="V48" s="69"/>
      <c r="W48" s="3" t="s">
        <v>199</v>
      </c>
      <c r="X48" s="13"/>
      <c r="Y48" s="3"/>
    </row>
    <row r="49" spans="1:25">
      <c r="A49" s="17" t="s">
        <v>16</v>
      </c>
      <c r="B49" s="5" t="s">
        <v>200</v>
      </c>
      <c r="C49" s="5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8" t="s">
        <v>52</v>
      </c>
      <c r="S49" s="68" t="s">
        <v>52</v>
      </c>
      <c r="T49" s="69"/>
      <c r="U49" s="69"/>
      <c r="V49" s="69"/>
      <c r="W49" s="3" t="s">
        <v>201</v>
      </c>
      <c r="X49" s="13"/>
      <c r="Y49" s="3"/>
    </row>
    <row r="50" spans="1:25">
      <c r="A50" s="17" t="s">
        <v>88</v>
      </c>
      <c r="B50" s="5" t="s">
        <v>202</v>
      </c>
      <c r="C50" s="5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8" t="s">
        <v>52</v>
      </c>
      <c r="R50" s="69"/>
      <c r="S50" s="69"/>
      <c r="T50" s="69"/>
      <c r="U50" s="69"/>
      <c r="V50" s="69"/>
      <c r="W50" s="3" t="s">
        <v>130</v>
      </c>
      <c r="X50" s="13"/>
      <c r="Y50" s="3" t="s">
        <v>203</v>
      </c>
    </row>
    <row r="51" spans="1:25" hidden="1">
      <c r="A51" s="17" t="s">
        <v>204</v>
      </c>
      <c r="B51" s="12" t="s">
        <v>205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3"/>
      <c r="Y51" s="3" t="s">
        <v>131</v>
      </c>
    </row>
    <row r="52" spans="1:25">
      <c r="A52" s="17" t="s">
        <v>17</v>
      </c>
      <c r="B52" s="12" t="s">
        <v>206</v>
      </c>
      <c r="C52" s="12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8" t="s">
        <v>52</v>
      </c>
      <c r="R52" s="69"/>
      <c r="S52" s="69"/>
      <c r="T52" s="69"/>
      <c r="U52" s="69"/>
      <c r="V52" s="69"/>
      <c r="W52" s="3" t="s">
        <v>130</v>
      </c>
      <c r="X52" s="13"/>
      <c r="Y52" s="3" t="s">
        <v>207</v>
      </c>
    </row>
    <row r="53" spans="1:25" hidden="1">
      <c r="A53" s="17" t="s">
        <v>208</v>
      </c>
      <c r="B53" s="5" t="s">
        <v>209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X53" s="13"/>
      <c r="Y53" s="3" t="s">
        <v>210</v>
      </c>
    </row>
    <row r="54" spans="1:25">
      <c r="A54" s="17" t="s">
        <v>18</v>
      </c>
      <c r="B54" s="5" t="s">
        <v>211</v>
      </c>
      <c r="C54" s="5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8" t="s">
        <v>52</v>
      </c>
      <c r="R54" s="69"/>
      <c r="S54" s="69"/>
      <c r="T54" s="69"/>
      <c r="U54" s="69"/>
      <c r="V54" s="69"/>
      <c r="W54" s="3" t="s">
        <v>130</v>
      </c>
      <c r="X54" s="13"/>
      <c r="Y54" s="3" t="s">
        <v>212</v>
      </c>
    </row>
    <row r="55" spans="1:25" hidden="1">
      <c r="A55" s="17" t="s">
        <v>213</v>
      </c>
      <c r="B55" s="5" t="s">
        <v>214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X55" s="13"/>
      <c r="Y55" s="3" t="s">
        <v>123</v>
      </c>
    </row>
    <row r="56" spans="1:25">
      <c r="A56" s="17" t="s">
        <v>19</v>
      </c>
      <c r="B56" s="5" t="s">
        <v>215</v>
      </c>
      <c r="C56" s="5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8" t="s">
        <v>52</v>
      </c>
      <c r="R56" s="68" t="s">
        <v>52</v>
      </c>
      <c r="S56" s="69"/>
      <c r="T56" s="69"/>
      <c r="U56" s="69"/>
      <c r="V56" s="69"/>
      <c r="W56" s="3" t="s">
        <v>130</v>
      </c>
      <c r="X56" s="13"/>
      <c r="Y56" s="3" t="s">
        <v>97</v>
      </c>
    </row>
    <row r="57" spans="1:25" hidden="1">
      <c r="A57" s="17" t="s">
        <v>216</v>
      </c>
      <c r="B57" s="5" t="s">
        <v>217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X57" s="13"/>
      <c r="Y57" s="3" t="s">
        <v>123</v>
      </c>
    </row>
    <row r="58" spans="1:25" hidden="1">
      <c r="X58" s="13"/>
    </row>
    <row r="59" spans="1:25" hidden="1">
      <c r="X59" s="13"/>
    </row>
    <row r="60" spans="1:25" hidden="1">
      <c r="X60" s="13"/>
    </row>
    <row r="61" spans="1:25" hidden="1">
      <c r="X61" s="13"/>
    </row>
    <row r="62" spans="1:25" hidden="1"/>
    <row r="63" spans="1:25" hidden="1"/>
    <row r="64" spans="1:25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</sheetData>
  <autoFilter ref="W1:W74" xr:uid="{98F42F17-E049-4A43-AB56-1E96268FD98E}">
    <filterColumn colId="0">
      <filters>
        <filter val="Example"/>
        <filter val="https://about.netflix.com/en/news/what-we-watched-the-second-half-of-2025"/>
        <filter val="https://newsroom.tiktok.com/tiktok-reveals-the-top-artists-and-songs-of-2025?lang=en"/>
        <filter val="https://press.strava.com/articles/strava-releases-12th-annual-year-in-sport-trend-report-2025"/>
        <filter val="https://radar.cloudflare.com/year-in-review/2025"/>
        <filter val="https://trends.withgoogle.com/year-in-search/2025/us/"/>
        <filter val="https://uk.tinderpressroom.com/TINDERS-YEAR-IN-SWIPE-TM-2025"/>
        <filter val="https://www.backblaze.com/blog/backblaze-drive-stats-for-2025/"/>
        <filter val="https://www.garmin.com/en-US/blog/general/2025-garmin-connect-data-report/"/>
      </filters>
    </filterColumn>
  </autoFilter>
  <hyperlinks>
    <hyperlink ref="Y42" r:id="rId1" xr:uid="{55B4422D-3073-461F-85FE-0079998D0528}"/>
    <hyperlink ref="Y2" r:id="rId2" xr:uid="{85089CFC-679D-42A1-A8C0-51EB67A74DB3}"/>
    <hyperlink ref="Y56" r:id="rId3" xr:uid="{D0E97FFE-AF97-4FEB-B298-BD2F716C7FA9}"/>
    <hyperlink ref="Y41" r:id="rId4" xr:uid="{4206894F-F504-407A-B5DA-E7A7581162CE}"/>
    <hyperlink ref="Y53" r:id="rId5" xr:uid="{A0695B0B-0433-42C0-A2DD-2435E600792D}"/>
    <hyperlink ref="Y54" r:id="rId6" xr:uid="{FBAED146-759E-4896-8C87-F5B67078DFE6}"/>
    <hyperlink ref="Y5" r:id="rId7" xr:uid="{CF001E87-E1ED-4EC8-9CF9-3BCF2A5C30D8}"/>
    <hyperlink ref="Y26" r:id="rId8" xr:uid="{06ABE326-4588-4793-A320-61BBD5CB0506}"/>
    <hyperlink ref="Y27" r:id="rId9" xr:uid="{D030EA01-CDE7-4B08-AE64-5D5367C1FFA8}"/>
    <hyperlink ref="Y35" r:id="rId10" xr:uid="{D44939EF-EE3C-49E2-8484-395755807596}"/>
    <hyperlink ref="Y14" r:id="rId11" xr:uid="{45AB7D0D-2E1A-42A7-BCAF-D9A6F5C82EDB}"/>
    <hyperlink ref="Y15" r:id="rId12" xr:uid="{A3E63EB1-C444-4864-B5CB-743EA5BB6A9E}"/>
    <hyperlink ref="Y51" r:id="rId13" xr:uid="{7D6C40BB-602A-4603-B0B2-DF195552D1F4}"/>
    <hyperlink ref="Y50" r:id="rId14" xr:uid="{D77B7283-3379-4740-B4CE-55BFD854A347}"/>
    <hyperlink ref="Y4" r:id="rId15" xr:uid="{206AA547-AF4B-47E8-9D18-6BE6BD9A71EB}"/>
    <hyperlink ref="Y57" r:id="rId16" xr:uid="{A1DAE860-31F3-42B7-BA74-1D0A08FC93B9}"/>
    <hyperlink ref="Y12" r:id="rId17" xr:uid="{1F02DC1D-BC45-4648-9B00-48B674604E77}"/>
    <hyperlink ref="Y47" r:id="rId18" xr:uid="{5B62C346-23F7-45F3-9DC4-5F9256D1127D}"/>
    <hyperlink ref="Y39" r:id="rId19" xr:uid="{89CB9151-0EE6-424B-BC46-AC3FDD75A008}"/>
    <hyperlink ref="Y21" r:id="rId20" xr:uid="{8CB474F7-247C-400F-87B5-4945705532A6}"/>
    <hyperlink ref="Y16" r:id="rId21" xr:uid="{E53EFF2B-9BCC-486C-B985-114D2D5E2245}"/>
    <hyperlink ref="Y34" r:id="rId22" xr:uid="{04286539-D61C-4F40-B15A-A1DE72794873}"/>
    <hyperlink ref="Y22" r:id="rId23" xr:uid="{AFB34136-303C-4457-94E2-F524E7221A8F}"/>
    <hyperlink ref="Y36" r:id="rId24" xr:uid="{DE7EF880-6EE2-46FE-9EF7-52A645BF82C8}"/>
    <hyperlink ref="Y46" r:id="rId25" xr:uid="{B93A01DE-3FAA-48ED-8FE4-1BB5A7D5CF10}"/>
    <hyperlink ref="Y55" r:id="rId26" xr:uid="{C618E269-A2E6-49CF-84B5-3E7741E2B185}"/>
    <hyperlink ref="Y44" r:id="rId27" xr:uid="{99CDD781-B446-41DB-A27D-97E6FCBD93D8}"/>
    <hyperlink ref="Y11" r:id="rId28" xr:uid="{8DFFC288-9B60-4373-AE65-886CF712E91C}"/>
    <hyperlink ref="Y7" r:id="rId29" xr:uid="{5604514D-6530-447C-AFCB-FF0135DCDED9}"/>
    <hyperlink ref="Y43" r:id="rId30" xr:uid="{0A8CA363-3422-47D5-BFC0-77170873BA4B}"/>
    <hyperlink ref="Y40" r:id="rId31" xr:uid="{3E22B497-3FD4-4CA9-8399-3BCCEB4920EE}"/>
    <hyperlink ref="Y31" r:id="rId32" xr:uid="{A9E8EA61-5494-4AAD-B573-BE26AC2A4D09}"/>
    <hyperlink ref="Y8" r:id="rId33" xr:uid="{9FAA3336-C510-4D59-B247-679B88B3FE96}"/>
    <hyperlink ref="Y32" r:id="rId34" xr:uid="{6C0B0491-CA60-43AB-9F06-256435D7CB83}"/>
    <hyperlink ref="Y13" r:id="rId35" xr:uid="{0230A575-EC66-44CE-9722-4690B292B865}"/>
    <hyperlink ref="Y29" r:id="rId36" xr:uid="{7E6649CD-02B0-4FC2-B6D1-A801A8BAFEC8}"/>
    <hyperlink ref="Y17" r:id="rId37" xr:uid="{75259DF0-116A-46FC-9ECC-8EA33FA069D0}"/>
    <hyperlink ref="Y33" r:id="rId38" xr:uid="{9C9C0EE5-0287-4FC6-A366-97406F0FF71E}"/>
    <hyperlink ref="Y37" r:id="rId39" xr:uid="{09AD88C5-B3E1-434F-BBB9-7A566FBF59BF}"/>
    <hyperlink ref="Y18" r:id="rId40" xr:uid="{088F896C-8AD4-43F8-8D23-58DF179485F7}"/>
    <hyperlink ref="Y23" r:id="rId41" xr:uid="{2F38540F-2D49-4B8E-87E3-4C3B4CC453D0}"/>
    <hyperlink ref="Y28" r:id="rId42" xr:uid="{F030261D-5C75-45B9-AA6D-AA1DC4066118}"/>
    <hyperlink ref="Y24" r:id="rId43" xr:uid="{98579157-9A60-477B-8909-A9055D6052A2}"/>
    <hyperlink ref="Y38" r:id="rId44" xr:uid="{C2B78301-A5F6-4E95-97EF-80C9AB0BE7EE}"/>
    <hyperlink ref="Y25" r:id="rId45" xr:uid="{B71294D1-C510-4652-ACA1-5544AEE03109}"/>
    <hyperlink ref="Y3" r:id="rId46" xr:uid="{A3964409-C342-41CD-8D26-6DDA661D1E93}"/>
    <hyperlink ref="Y52" r:id="rId47" xr:uid="{28DFE1CF-2C87-4949-BB08-706D88BFFDD9}"/>
    <hyperlink ref="Y10" r:id="rId48" xr:uid="{A19820E7-AEF3-4A2F-9FAD-F3069E1DBC7A}"/>
    <hyperlink ref="Y20" r:id="rId49" xr:uid="{B384B5CE-CE3B-4B11-8C94-4218F28C4449}"/>
    <hyperlink ref="Y45" r:id="rId50" xr:uid="{1094EDF0-7E0F-409E-A77E-00C9F3DEA1EE}"/>
    <hyperlink ref="W52" r:id="rId51" xr:uid="{07CF7FF9-8C70-4219-8B16-66C64D493E5A}"/>
    <hyperlink ref="W54" r:id="rId52" xr:uid="{001A0698-6847-4135-98D8-CEA6A01A0DAA}"/>
    <hyperlink ref="W56" r:id="rId53" xr:uid="{0707E1A1-4C88-4BED-B6CE-2FFCD3D83E38}"/>
    <hyperlink ref="W42" r:id="rId54" xr:uid="{4301CA63-86C0-4C08-BE1D-FB0B20E854CE}"/>
    <hyperlink ref="W33" r:id="rId55" location=":~:text=March%206%2C%202026-,2025%20Year%20in%20Review:%20Explore%20Your%20Oura%20Data%20&amp;%20Global%20Wellness,with%20your%20friends%20and%20family!" xr:uid="{73C7A085-3E84-47FE-84B6-E22C4BA37244}"/>
    <hyperlink ref="W15" r:id="rId56" xr:uid="{50439EA3-1D57-46F3-9D99-D8281E027187}"/>
    <hyperlink ref="W16" r:id="rId57" xr:uid="{1D362D13-0C44-4154-83E0-F149BA120F73}"/>
    <hyperlink ref="W38" r:id="rId58" xr:uid="{5F32DC02-FA39-4544-8FBE-1D59C85FCE74}"/>
    <hyperlink ref="W50" r:id="rId59" xr:uid="{10B3E33A-4A0A-4B9F-BA7D-23C303632B0E}"/>
    <hyperlink ref="W26" r:id="rId60" location="title-page" xr:uid="{9E2F0AF9-E409-4D1A-BB1D-12287AB411C6}"/>
    <hyperlink ref="W32" r:id="rId61" xr:uid="{249CE14B-042F-478B-B486-BBA0027B2F98}"/>
    <hyperlink ref="W49" r:id="rId62" xr:uid="{964401F1-A103-4ED1-B4D9-945EA69252BD}"/>
    <hyperlink ref="W46" r:id="rId63" xr:uid="{E3642946-0E1E-4494-941E-DA9A811376DB}"/>
    <hyperlink ref="W19" r:id="rId64" xr:uid="{5CC64934-C5D0-4493-80FE-51FF25E7F0B6}"/>
    <hyperlink ref="W30" r:id="rId65" xr:uid="{F00AD310-548B-48EC-B5FB-D4FE23862B86}"/>
    <hyperlink ref="W17" r:id="rId66" xr:uid="{C441CF97-0FE1-4144-9FB5-60650203A772}"/>
    <hyperlink ref="W48" r:id="rId67" xr:uid="{1BEEE3D8-E80E-4471-AEFB-273B52033844}"/>
    <hyperlink ref="W9" r:id="rId68" xr:uid="{7F8F1411-7E10-4804-941D-5EB47632C854}"/>
    <hyperlink ref="W6" r:id="rId69" xr:uid="{985F5F6E-4BD1-43A7-9194-6411A9A1186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2F17-E049-4A43-AB56-1E96268FD98E}">
  <sheetPr filterMode="1"/>
  <dimension ref="A1:F74"/>
  <sheetViews>
    <sheetView workbookViewId="0">
      <selection activeCell="C6" sqref="C6"/>
    </sheetView>
  </sheetViews>
  <sheetFormatPr defaultColWidth="0" defaultRowHeight="18.75" customHeight="1" zeroHeight="1"/>
  <cols>
    <col min="1" max="1" width="22.42578125" style="2" customWidth="1"/>
    <col min="2" max="2" width="67.28515625" style="2" bestFit="1" customWidth="1"/>
    <col min="3" max="3" width="19.7109375" style="2" customWidth="1"/>
    <col min="4" max="4" width="19.7109375" style="2" hidden="1" customWidth="1"/>
    <col min="5" max="5" width="134.42578125" style="2" hidden="1" customWidth="1"/>
    <col min="6" max="6" width="34.5703125" style="2" hidden="1" customWidth="1"/>
    <col min="7" max="16384" width="0" style="2" hidden="1"/>
  </cols>
  <sheetData>
    <row r="1" spans="1:6">
      <c r="A1" s="1" t="s">
        <v>28</v>
      </c>
      <c r="B1" s="8" t="s">
        <v>89</v>
      </c>
      <c r="C1" s="8" t="s">
        <v>92</v>
      </c>
      <c r="D1" s="8" t="s">
        <v>93</v>
      </c>
      <c r="E1" s="1" t="s">
        <v>94</v>
      </c>
      <c r="F1" s="1" t="s">
        <v>218</v>
      </c>
    </row>
    <row r="2" spans="1:6" hidden="1">
      <c r="A2" s="17" t="s">
        <v>95</v>
      </c>
      <c r="B2" s="5" t="s">
        <v>96</v>
      </c>
      <c r="D2" s="13"/>
      <c r="E2" s="3" t="s">
        <v>97</v>
      </c>
      <c r="F2" s="3" t="s">
        <v>219</v>
      </c>
    </row>
    <row r="3" spans="1:6" hidden="1">
      <c r="A3" s="17" t="s">
        <v>98</v>
      </c>
      <c r="B3" s="5" t="s">
        <v>99</v>
      </c>
      <c r="C3" s="3"/>
      <c r="D3" s="13"/>
      <c r="E3" s="3" t="s">
        <v>100</v>
      </c>
      <c r="F3" s="3"/>
    </row>
    <row r="4" spans="1:6" hidden="1">
      <c r="A4" s="17" t="s">
        <v>101</v>
      </c>
      <c r="B4" s="6" t="s">
        <v>102</v>
      </c>
      <c r="C4" s="11"/>
      <c r="D4" s="14"/>
      <c r="E4" s="3" t="s">
        <v>103</v>
      </c>
      <c r="F4" s="3" t="s">
        <v>219</v>
      </c>
    </row>
    <row r="5" spans="1:6" hidden="1">
      <c r="A5" s="17" t="s">
        <v>104</v>
      </c>
      <c r="B5" s="6" t="s">
        <v>105</v>
      </c>
      <c r="C5" s="16"/>
      <c r="D5" s="14"/>
      <c r="E5" s="3" t="s">
        <v>106</v>
      </c>
      <c r="F5" s="3" t="s">
        <v>220</v>
      </c>
    </row>
    <row r="6" spans="1:6">
      <c r="A6" s="17" t="s">
        <v>2</v>
      </c>
      <c r="B6" s="6"/>
      <c r="C6" s="16" t="s">
        <v>107</v>
      </c>
      <c r="D6" s="14"/>
      <c r="E6" s="3"/>
      <c r="F6" s="3"/>
    </row>
    <row r="7" spans="1:6" hidden="1">
      <c r="A7" s="17" t="s">
        <v>108</v>
      </c>
      <c r="B7" s="6" t="s">
        <v>109</v>
      </c>
      <c r="C7" s="11"/>
      <c r="D7" s="14"/>
      <c r="E7" s="3" t="s">
        <v>110</v>
      </c>
      <c r="F7" s="3" t="s">
        <v>219</v>
      </c>
    </row>
    <row r="8" spans="1:6" hidden="1">
      <c r="A8" s="17" t="s">
        <v>111</v>
      </c>
      <c r="B8" s="6" t="s">
        <v>112</v>
      </c>
      <c r="C8" s="11"/>
      <c r="D8" s="14"/>
      <c r="E8" s="3" t="s">
        <v>113</v>
      </c>
      <c r="F8" s="3" t="s">
        <v>219</v>
      </c>
    </row>
    <row r="9" spans="1:6">
      <c r="A9" s="17" t="s">
        <v>3</v>
      </c>
      <c r="B9" s="6"/>
      <c r="C9" s="3" t="s">
        <v>115</v>
      </c>
      <c r="D9" s="14"/>
      <c r="E9" s="3"/>
      <c r="F9" s="3"/>
    </row>
    <row r="10" spans="1:6" hidden="1">
      <c r="A10" s="17" t="s">
        <v>116</v>
      </c>
      <c r="B10" s="6" t="s">
        <v>117</v>
      </c>
      <c r="C10" s="11"/>
      <c r="D10" s="14"/>
      <c r="E10" s="3" t="s">
        <v>118</v>
      </c>
      <c r="F10" s="3" t="s">
        <v>219</v>
      </c>
    </row>
    <row r="11" spans="1:6" hidden="1">
      <c r="A11" s="17" t="s">
        <v>119</v>
      </c>
      <c r="B11" s="6" t="s">
        <v>120</v>
      </c>
      <c r="C11" s="11"/>
      <c r="D11" s="14"/>
      <c r="E11" s="3" t="s">
        <v>110</v>
      </c>
      <c r="F11" s="3" t="s">
        <v>219</v>
      </c>
    </row>
    <row r="12" spans="1:6" hidden="1">
      <c r="A12" s="17" t="s">
        <v>121</v>
      </c>
      <c r="B12" s="6" t="s">
        <v>122</v>
      </c>
      <c r="C12" s="11"/>
      <c r="D12" s="14"/>
      <c r="E12" s="3" t="s">
        <v>123</v>
      </c>
      <c r="F12" s="3" t="s">
        <v>219</v>
      </c>
    </row>
    <row r="13" spans="1:6" hidden="1">
      <c r="A13" s="17" t="s">
        <v>124</v>
      </c>
      <c r="B13" s="6" t="s">
        <v>125</v>
      </c>
      <c r="C13" s="11"/>
      <c r="D13" s="14"/>
      <c r="E13" s="3" t="s">
        <v>113</v>
      </c>
      <c r="F13" s="3" t="s">
        <v>219</v>
      </c>
    </row>
    <row r="14" spans="1:6" hidden="1">
      <c r="A14" s="17" t="s">
        <v>126</v>
      </c>
      <c r="B14" s="6" t="s">
        <v>127</v>
      </c>
      <c r="C14" s="11"/>
      <c r="D14" s="14"/>
      <c r="E14" s="3" t="s">
        <v>128</v>
      </c>
      <c r="F14" s="3" t="s">
        <v>219</v>
      </c>
    </row>
    <row r="15" spans="1:6">
      <c r="A15" s="17" t="s">
        <v>4</v>
      </c>
      <c r="B15" s="5" t="s">
        <v>129</v>
      </c>
      <c r="C15" s="3" t="s">
        <v>130</v>
      </c>
      <c r="D15" s="13"/>
      <c r="E15" s="3" t="s">
        <v>131</v>
      </c>
      <c r="F15" s="3" t="s">
        <v>219</v>
      </c>
    </row>
    <row r="16" spans="1:6">
      <c r="A16" s="17" t="s">
        <v>5</v>
      </c>
      <c r="B16" s="5" t="s">
        <v>132</v>
      </c>
      <c r="C16" s="3" t="s">
        <v>130</v>
      </c>
      <c r="D16" s="13"/>
      <c r="E16" s="3" t="s">
        <v>123</v>
      </c>
      <c r="F16" s="3" t="s">
        <v>219</v>
      </c>
    </row>
    <row r="17" spans="1:6">
      <c r="A17" s="17" t="s">
        <v>6</v>
      </c>
      <c r="B17" s="5" t="s">
        <v>109</v>
      </c>
      <c r="C17" s="3" t="s">
        <v>133</v>
      </c>
      <c r="D17" s="13"/>
      <c r="E17" s="3" t="s">
        <v>134</v>
      </c>
      <c r="F17" s="3" t="s">
        <v>219</v>
      </c>
    </row>
    <row r="18" spans="1:6" hidden="1">
      <c r="A18" s="17" t="s">
        <v>135</v>
      </c>
      <c r="B18" s="5" t="s">
        <v>136</v>
      </c>
      <c r="C18" s="16"/>
      <c r="D18" s="13"/>
      <c r="E18" s="3" t="s">
        <v>137</v>
      </c>
      <c r="F18" s="3" t="s">
        <v>219</v>
      </c>
    </row>
    <row r="19" spans="1:6">
      <c r="A19" s="17" t="s">
        <v>7</v>
      </c>
      <c r="B19" s="5"/>
      <c r="C19" s="16" t="s">
        <v>138</v>
      </c>
      <c r="D19" s="13"/>
      <c r="E19" s="3"/>
      <c r="F19" s="3"/>
    </row>
    <row r="20" spans="1:6" hidden="1">
      <c r="A20" s="17" t="s">
        <v>139</v>
      </c>
      <c r="B20" s="5" t="s">
        <v>140</v>
      </c>
      <c r="D20" s="13"/>
      <c r="E20" s="3" t="s">
        <v>141</v>
      </c>
      <c r="F20" s="3" t="s">
        <v>219</v>
      </c>
    </row>
    <row r="21" spans="1:6" hidden="1">
      <c r="A21" s="17" t="s">
        <v>142</v>
      </c>
      <c r="B21" s="5" t="s">
        <v>143</v>
      </c>
      <c r="D21" s="13"/>
      <c r="E21" s="3" t="s">
        <v>123</v>
      </c>
      <c r="F21" s="3" t="s">
        <v>219</v>
      </c>
    </row>
    <row r="22" spans="1:6" hidden="1">
      <c r="A22" s="17" t="s">
        <v>144</v>
      </c>
      <c r="B22" s="5" t="s">
        <v>109</v>
      </c>
      <c r="C22" s="3"/>
      <c r="D22" s="13"/>
      <c r="E22" s="3" t="s">
        <v>123</v>
      </c>
      <c r="F22" s="3" t="s">
        <v>220</v>
      </c>
    </row>
    <row r="23" spans="1:6" hidden="1">
      <c r="A23" s="17" t="s">
        <v>145</v>
      </c>
      <c r="B23" s="5" t="s">
        <v>146</v>
      </c>
      <c r="D23" s="13"/>
      <c r="E23" s="3" t="s">
        <v>147</v>
      </c>
      <c r="F23" s="3" t="s">
        <v>219</v>
      </c>
    </row>
    <row r="24" spans="1:6" hidden="1">
      <c r="A24" s="17" t="s">
        <v>148</v>
      </c>
      <c r="B24" s="5" t="s">
        <v>149</v>
      </c>
      <c r="D24" s="13"/>
      <c r="E24" s="3" t="s">
        <v>150</v>
      </c>
      <c r="F24" s="3" t="s">
        <v>220</v>
      </c>
    </row>
    <row r="25" spans="1:6" hidden="1">
      <c r="A25" s="17" t="s">
        <v>151</v>
      </c>
      <c r="B25" s="5" t="s">
        <v>152</v>
      </c>
      <c r="D25" s="13"/>
      <c r="E25" s="3" t="s">
        <v>153</v>
      </c>
      <c r="F25" s="3"/>
    </row>
    <row r="26" spans="1:6">
      <c r="A26" s="17" t="s">
        <v>8</v>
      </c>
      <c r="B26" s="6" t="s">
        <v>154</v>
      </c>
      <c r="C26" s="3" t="s">
        <v>130</v>
      </c>
      <c r="D26" s="13"/>
      <c r="E26" s="3" t="s">
        <v>155</v>
      </c>
      <c r="F26" s="3" t="s">
        <v>219</v>
      </c>
    </row>
    <row r="27" spans="1:6" hidden="1">
      <c r="A27" s="17" t="s">
        <v>156</v>
      </c>
      <c r="B27" s="5" t="s">
        <v>157</v>
      </c>
      <c r="D27" s="13"/>
      <c r="E27" s="3" t="s">
        <v>128</v>
      </c>
      <c r="F27" s="3" t="s">
        <v>219</v>
      </c>
    </row>
    <row r="28" spans="1:6" hidden="1">
      <c r="A28" s="17" t="s">
        <v>158</v>
      </c>
      <c r="B28" s="5" t="s">
        <v>159</v>
      </c>
      <c r="C28" s="3"/>
      <c r="D28" s="13"/>
      <c r="E28" s="3" t="s">
        <v>160</v>
      </c>
      <c r="F28" s="3" t="s">
        <v>219</v>
      </c>
    </row>
    <row r="29" spans="1:6" hidden="1">
      <c r="A29" s="17" t="s">
        <v>161</v>
      </c>
      <c r="B29" s="5" t="s">
        <v>162</v>
      </c>
      <c r="D29" s="13"/>
      <c r="E29" s="3" t="s">
        <v>163</v>
      </c>
      <c r="F29" s="3"/>
    </row>
    <row r="30" spans="1:6">
      <c r="A30" s="17" t="s">
        <v>9</v>
      </c>
      <c r="B30" s="5"/>
      <c r="C30" s="3" t="s">
        <v>164</v>
      </c>
      <c r="D30" s="13"/>
      <c r="E30" s="3"/>
      <c r="F30" s="3"/>
    </row>
    <row r="31" spans="1:6" hidden="1">
      <c r="A31" s="17" t="s">
        <v>165</v>
      </c>
      <c r="B31" s="5" t="s">
        <v>166</v>
      </c>
      <c r="D31" s="13"/>
      <c r="E31" s="3" t="s">
        <v>113</v>
      </c>
      <c r="F31" s="3" t="s">
        <v>220</v>
      </c>
    </row>
    <row r="32" spans="1:6">
      <c r="A32" s="17" t="s">
        <v>10</v>
      </c>
      <c r="B32" s="5" t="s">
        <v>167</v>
      </c>
      <c r="C32" s="16" t="s">
        <v>130</v>
      </c>
      <c r="D32" s="13"/>
      <c r="E32" s="3" t="s">
        <v>113</v>
      </c>
      <c r="F32" s="3" t="s">
        <v>219</v>
      </c>
    </row>
    <row r="33" spans="1:6">
      <c r="A33" s="17" t="s">
        <v>11</v>
      </c>
      <c r="B33" s="5" t="s">
        <v>109</v>
      </c>
      <c r="C33" s="3" t="s">
        <v>130</v>
      </c>
      <c r="D33" s="13"/>
      <c r="E33" s="3" t="s">
        <v>168</v>
      </c>
      <c r="F33" s="3" t="s">
        <v>219</v>
      </c>
    </row>
    <row r="34" spans="1:6" hidden="1">
      <c r="A34" s="17" t="s">
        <v>169</v>
      </c>
      <c r="B34" s="5" t="s">
        <v>170</v>
      </c>
      <c r="D34" s="13"/>
      <c r="E34" s="3" t="s">
        <v>123</v>
      </c>
      <c r="F34" s="3" t="s">
        <v>219</v>
      </c>
    </row>
    <row r="35" spans="1:6" hidden="1">
      <c r="A35" s="17" t="s">
        <v>171</v>
      </c>
      <c r="B35" s="6" t="s">
        <v>172</v>
      </c>
      <c r="C35" s="11"/>
      <c r="D35" s="14"/>
      <c r="E35" s="3" t="s">
        <v>128</v>
      </c>
      <c r="F35" s="3" t="s">
        <v>219</v>
      </c>
    </row>
    <row r="36" spans="1:6" hidden="1">
      <c r="A36" s="17" t="s">
        <v>173</v>
      </c>
      <c r="B36" s="6" t="s">
        <v>174</v>
      </c>
      <c r="C36" s="11"/>
      <c r="D36" s="14"/>
      <c r="E36" s="3" t="s">
        <v>123</v>
      </c>
      <c r="F36" s="3" t="s">
        <v>220</v>
      </c>
    </row>
    <row r="37" spans="1:6" hidden="1">
      <c r="A37" s="17" t="s">
        <v>175</v>
      </c>
      <c r="B37" s="6" t="s">
        <v>176</v>
      </c>
      <c r="C37" s="11"/>
      <c r="D37" s="14"/>
      <c r="E37" s="3" t="s">
        <v>177</v>
      </c>
      <c r="F37" s="3" t="s">
        <v>219</v>
      </c>
    </row>
    <row r="38" spans="1:6">
      <c r="A38" s="17" t="s">
        <v>12</v>
      </c>
      <c r="B38" s="6" t="s">
        <v>149</v>
      </c>
      <c r="C38" s="3" t="s">
        <v>130</v>
      </c>
      <c r="D38" s="14"/>
      <c r="E38" s="3" t="s">
        <v>178</v>
      </c>
      <c r="F38" s="3"/>
    </row>
    <row r="39" spans="1:6" hidden="1">
      <c r="A39" s="17" t="s">
        <v>179</v>
      </c>
      <c r="B39" s="6" t="s">
        <v>180</v>
      </c>
      <c r="C39" s="11"/>
      <c r="D39" s="14"/>
      <c r="E39" s="3" t="s">
        <v>123</v>
      </c>
      <c r="F39" s="3" t="s">
        <v>220</v>
      </c>
    </row>
    <row r="40" spans="1:6" hidden="1">
      <c r="A40" s="17" t="s">
        <v>181</v>
      </c>
      <c r="B40" s="6" t="s">
        <v>182</v>
      </c>
      <c r="C40" s="11"/>
      <c r="D40" s="14"/>
      <c r="E40" s="3" t="s">
        <v>183</v>
      </c>
      <c r="F40" s="3" t="s">
        <v>219</v>
      </c>
    </row>
    <row r="41" spans="1:6" hidden="1">
      <c r="A41" s="17" t="s">
        <v>184</v>
      </c>
      <c r="B41" s="5" t="s">
        <v>185</v>
      </c>
      <c r="D41" s="13"/>
      <c r="E41" s="3" t="s">
        <v>97</v>
      </c>
      <c r="F41" s="3" t="s">
        <v>219</v>
      </c>
    </row>
    <row r="42" spans="1:6">
      <c r="A42" s="17" t="s">
        <v>13</v>
      </c>
      <c r="B42" s="5" t="s">
        <v>186</v>
      </c>
      <c r="C42" s="3" t="s">
        <v>130</v>
      </c>
      <c r="D42" s="13"/>
      <c r="E42" s="3" t="s">
        <v>97</v>
      </c>
      <c r="F42" s="3" t="s">
        <v>219</v>
      </c>
    </row>
    <row r="43" spans="1:6" hidden="1">
      <c r="A43" s="17" t="s">
        <v>187</v>
      </c>
      <c r="B43" s="5" t="s">
        <v>188</v>
      </c>
      <c r="D43" s="13"/>
      <c r="E43" s="3" t="s">
        <v>189</v>
      </c>
      <c r="F43" s="3" t="s">
        <v>219</v>
      </c>
    </row>
    <row r="44" spans="1:6" hidden="1">
      <c r="A44" s="17" t="s">
        <v>190</v>
      </c>
      <c r="B44" s="5" t="s">
        <v>191</v>
      </c>
      <c r="D44" s="13"/>
      <c r="E44" s="3" t="s">
        <v>110</v>
      </c>
      <c r="F44" s="3" t="s">
        <v>220</v>
      </c>
    </row>
    <row r="45" spans="1:6" hidden="1">
      <c r="A45" s="17" t="s">
        <v>192</v>
      </c>
      <c r="B45" s="5" t="s">
        <v>193</v>
      </c>
      <c r="D45" s="13"/>
      <c r="E45" s="3" t="s">
        <v>194</v>
      </c>
      <c r="F45" s="3" t="s">
        <v>219</v>
      </c>
    </row>
    <row r="46" spans="1:6">
      <c r="A46" s="17" t="s">
        <v>14</v>
      </c>
      <c r="B46" s="5" t="s">
        <v>195</v>
      </c>
      <c r="C46" s="3" t="s">
        <v>196</v>
      </c>
      <c r="D46" s="13"/>
      <c r="E46" s="3" t="s">
        <v>123</v>
      </c>
      <c r="F46" s="3" t="s">
        <v>219</v>
      </c>
    </row>
    <row r="47" spans="1:6" hidden="1">
      <c r="A47" s="17" t="s">
        <v>197</v>
      </c>
      <c r="B47" s="5" t="s">
        <v>198</v>
      </c>
      <c r="D47" s="13"/>
      <c r="E47" s="3" t="s">
        <v>123</v>
      </c>
      <c r="F47" s="3" t="s">
        <v>219</v>
      </c>
    </row>
    <row r="48" spans="1:6">
      <c r="A48" s="17" t="s">
        <v>15</v>
      </c>
      <c r="B48" s="5"/>
      <c r="C48" s="3" t="s">
        <v>199</v>
      </c>
      <c r="D48" s="13"/>
      <c r="E48" s="3"/>
      <c r="F48" s="3"/>
    </row>
    <row r="49" spans="1:6">
      <c r="A49" s="17" t="s">
        <v>16</v>
      </c>
      <c r="B49" s="5" t="s">
        <v>200</v>
      </c>
      <c r="C49" s="3" t="s">
        <v>201</v>
      </c>
      <c r="D49" s="13"/>
      <c r="E49" s="3"/>
      <c r="F49" s="3"/>
    </row>
    <row r="50" spans="1:6">
      <c r="A50" s="17" t="s">
        <v>88</v>
      </c>
      <c r="B50" s="5" t="s">
        <v>202</v>
      </c>
      <c r="C50" s="3" t="s">
        <v>130</v>
      </c>
      <c r="D50" s="13"/>
      <c r="E50" s="3" t="s">
        <v>203</v>
      </c>
      <c r="F50" s="3" t="s">
        <v>219</v>
      </c>
    </row>
    <row r="51" spans="1:6" hidden="1">
      <c r="A51" s="17" t="s">
        <v>204</v>
      </c>
      <c r="B51" s="12" t="s">
        <v>205</v>
      </c>
      <c r="D51" s="13"/>
      <c r="E51" s="3" t="s">
        <v>131</v>
      </c>
      <c r="F51" s="3" t="s">
        <v>219</v>
      </c>
    </row>
    <row r="52" spans="1:6">
      <c r="A52" s="17" t="s">
        <v>17</v>
      </c>
      <c r="B52" s="12" t="s">
        <v>206</v>
      </c>
      <c r="C52" s="3" t="s">
        <v>130</v>
      </c>
      <c r="D52" s="13"/>
      <c r="E52" s="3" t="s">
        <v>207</v>
      </c>
      <c r="F52" s="3" t="s">
        <v>219</v>
      </c>
    </row>
    <row r="53" spans="1:6" hidden="1">
      <c r="A53" s="17" t="s">
        <v>208</v>
      </c>
      <c r="B53" s="5" t="s">
        <v>209</v>
      </c>
      <c r="D53" s="13"/>
      <c r="E53" s="3" t="s">
        <v>210</v>
      </c>
      <c r="F53" s="3" t="s">
        <v>219</v>
      </c>
    </row>
    <row r="54" spans="1:6">
      <c r="A54" s="17" t="s">
        <v>18</v>
      </c>
      <c r="B54" s="5" t="s">
        <v>211</v>
      </c>
      <c r="C54" s="3" t="s">
        <v>130</v>
      </c>
      <c r="D54" s="13"/>
      <c r="E54" s="3" t="s">
        <v>212</v>
      </c>
      <c r="F54" s="3" t="s">
        <v>221</v>
      </c>
    </row>
    <row r="55" spans="1:6" hidden="1">
      <c r="A55" s="17" t="s">
        <v>213</v>
      </c>
      <c r="B55" s="5" t="s">
        <v>214</v>
      </c>
      <c r="D55" s="13"/>
      <c r="E55" s="3" t="s">
        <v>123</v>
      </c>
      <c r="F55" s="3" t="s">
        <v>220</v>
      </c>
    </row>
    <row r="56" spans="1:6">
      <c r="A56" s="17" t="s">
        <v>19</v>
      </c>
      <c r="B56" s="5" t="s">
        <v>215</v>
      </c>
      <c r="C56" s="3" t="s">
        <v>130</v>
      </c>
      <c r="D56" s="13"/>
      <c r="E56" s="3" t="s">
        <v>97</v>
      </c>
      <c r="F56" s="3" t="s">
        <v>219</v>
      </c>
    </row>
    <row r="57" spans="1:6" hidden="1">
      <c r="A57" s="17" t="s">
        <v>216</v>
      </c>
      <c r="B57" s="5" t="s">
        <v>217</v>
      </c>
      <c r="D57" s="13"/>
      <c r="E57" s="3" t="s">
        <v>123</v>
      </c>
      <c r="F57" s="3" t="s">
        <v>219</v>
      </c>
    </row>
    <row r="58" spans="1:6" hidden="1">
      <c r="D58" s="13"/>
    </row>
    <row r="59" spans="1:6" hidden="1">
      <c r="D59" s="13"/>
    </row>
    <row r="60" spans="1:6" hidden="1">
      <c r="D60" s="13"/>
    </row>
    <row r="61" spans="1:6" hidden="1">
      <c r="D61" s="13"/>
    </row>
    <row r="62" spans="1:6" hidden="1"/>
    <row r="63" spans="1:6" hidden="1"/>
    <row r="64" spans="1:6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</sheetData>
  <autoFilter ref="C1:C74" xr:uid="{98F42F17-E049-4A43-AB56-1E96268FD98E}">
    <filterColumn colId="0">
      <filters>
        <filter val="Example"/>
        <filter val="https://about.netflix.com/en/news/what-we-watched-the-second-half-of-2025"/>
        <filter val="https://newsroom.tiktok.com/tiktok-reveals-the-top-artists-and-songs-of-2025?lang=en"/>
        <filter val="https://press.strava.com/articles/strava-releases-12th-annual-year-in-sport-trend-report-2025"/>
        <filter val="https://radar.cloudflare.com/year-in-review/2025"/>
        <filter val="https://trends.withgoogle.com/year-in-search/2025/us/"/>
        <filter val="https://uk.tinderpressroom.com/TINDERS-YEAR-IN-SWIPE-TM-2025"/>
        <filter val="https://www.garmin.com/en-US/blog/general/2025-garmin-connect-data-report/"/>
      </filters>
    </filterColumn>
  </autoFilter>
  <hyperlinks>
    <hyperlink ref="E42" r:id="rId1" xr:uid="{F7420E3F-D9C0-4885-ADD9-3C1CC8BE7007}"/>
    <hyperlink ref="E2" r:id="rId2" xr:uid="{836F6C67-0FB5-4CF2-825F-87018CD70FED}"/>
    <hyperlink ref="E56" r:id="rId3" xr:uid="{45C8BC8B-8BEE-443E-B75C-FAEF55718A8A}"/>
    <hyperlink ref="E41" r:id="rId4" xr:uid="{E971D524-14DE-4B19-9C11-BF1A2F9089B1}"/>
    <hyperlink ref="E53" r:id="rId5" xr:uid="{062DD78E-EAAF-4612-BE43-CC91813FA109}"/>
    <hyperlink ref="E54" r:id="rId6" xr:uid="{094CBDAD-2CA2-46F2-9AF8-85EEC561E33B}"/>
    <hyperlink ref="E5" r:id="rId7" xr:uid="{B93FC4D6-0D9E-4976-917C-74A68925E530}"/>
    <hyperlink ref="E26" r:id="rId8" xr:uid="{1E655E9F-A8FD-4586-A33A-47F7DABB5C0C}"/>
    <hyperlink ref="E27" r:id="rId9" xr:uid="{D7FBF566-C55D-471A-990B-7293746F5D70}"/>
    <hyperlink ref="E35" r:id="rId10" xr:uid="{C6216F56-D7AF-4D7F-A41F-0C7E5EC3BF51}"/>
    <hyperlink ref="E14" r:id="rId11" xr:uid="{CC60A69E-D7D6-484D-9842-9942FDF3AC6F}"/>
    <hyperlink ref="E15" r:id="rId12" xr:uid="{D501A044-56C0-4B21-8B24-696946A49434}"/>
    <hyperlink ref="E51" r:id="rId13" xr:uid="{87AAA049-F6F8-41A6-8A97-7F9729D1A472}"/>
    <hyperlink ref="E50" r:id="rId14" xr:uid="{08E34074-12A0-44FD-A24D-2BF7A54E2182}"/>
    <hyperlink ref="E4" r:id="rId15" xr:uid="{FA6E16AA-22F7-4DC2-B4E5-86E67395547F}"/>
    <hyperlink ref="E57" r:id="rId16" xr:uid="{242FAB7B-BEB3-4DA2-AD6B-C9EBE7E93D3A}"/>
    <hyperlink ref="E12" r:id="rId17" xr:uid="{639B9661-0EB6-43A8-8B88-95364B8B042D}"/>
    <hyperlink ref="E47" r:id="rId18" xr:uid="{F1A1EB17-7334-47AC-8589-099EE9AACDF8}"/>
    <hyperlink ref="E39" r:id="rId19" xr:uid="{FCF3D8AF-3692-4246-8783-6DA18E6BB8A7}"/>
    <hyperlink ref="E21" r:id="rId20" xr:uid="{92CE83D5-3462-409A-916A-84E62CFB5492}"/>
    <hyperlink ref="E16" r:id="rId21" xr:uid="{71ACB61F-B5CD-4E4A-BCFD-6110EFB5B12D}"/>
    <hyperlink ref="E34" r:id="rId22" xr:uid="{F234B96B-6EEE-4AA6-8534-00651EA9DBD2}"/>
    <hyperlink ref="E22" r:id="rId23" xr:uid="{B1F46147-5754-4EFF-A70C-D190BB2B3027}"/>
    <hyperlink ref="E36" r:id="rId24" xr:uid="{075CAE78-9650-46A8-AA9F-0FA1FF479F2A}"/>
    <hyperlink ref="E46" r:id="rId25" xr:uid="{92A085D7-5DEB-49D4-855D-A10C94D635B0}"/>
    <hyperlink ref="E55" r:id="rId26" xr:uid="{49C77469-3245-4E4A-B497-3D8477608039}"/>
    <hyperlink ref="E44" r:id="rId27" xr:uid="{14814794-CE63-4A57-ACF2-F10A4DCB5C18}"/>
    <hyperlink ref="E11" r:id="rId28" xr:uid="{D1975FF1-DA22-42C9-BE8C-E3099967ADFB}"/>
    <hyperlink ref="E7" r:id="rId29" xr:uid="{50EF4092-EBFF-4E95-90EA-CBC8551497AB}"/>
    <hyperlink ref="E43" r:id="rId30" xr:uid="{09B972EC-8B31-470B-AF4D-3AAD9A744702}"/>
    <hyperlink ref="E40" r:id="rId31" xr:uid="{717B6BF9-9B70-40F4-8FE6-2FD4C27EB1C0}"/>
    <hyperlink ref="E31" r:id="rId32" xr:uid="{EC8506F8-6696-4AB6-8A7A-84AC2FBF01B4}"/>
    <hyperlink ref="E8" r:id="rId33" xr:uid="{CA44323B-9BF4-4064-B1D4-06E0F6839B98}"/>
    <hyperlink ref="E32" r:id="rId34" xr:uid="{CE4F10CA-5B05-4283-878D-C59C104B9D9A}"/>
    <hyperlink ref="E13" r:id="rId35" xr:uid="{F1D384C9-3654-4537-94FE-0BF8A9AF608D}"/>
    <hyperlink ref="F2" r:id="rId36" xr:uid="{A144DB29-4B61-49A6-BDDD-1B23B1545495}"/>
    <hyperlink ref="F4" r:id="rId37" xr:uid="{0F89F23E-7C6B-47B6-AD2F-7BDCDB349F86}"/>
    <hyperlink ref="F5" r:id="rId38" xr:uid="{F3AE8309-F2A4-4552-90F7-BAE3BC2E37DD}"/>
    <hyperlink ref="F7" r:id="rId39" xr:uid="{62138779-4C4B-4347-98CD-151ADA5B7385}"/>
    <hyperlink ref="F8" r:id="rId40" xr:uid="{31258BBF-EA88-42F4-88DD-AF98898299F6}"/>
    <hyperlink ref="F11" r:id="rId41" xr:uid="{6A8548E7-C223-4E0D-839E-2EA23F86546E}"/>
    <hyperlink ref="F12" r:id="rId42" xr:uid="{ED78761A-81EC-4D84-AFD3-82AE6942BA4C}"/>
    <hyperlink ref="F13" r:id="rId43" xr:uid="{475B2225-189F-4AEC-A509-277ACEB1A270}"/>
    <hyperlink ref="F14" r:id="rId44" xr:uid="{E8C6B981-4528-4D1F-8207-3CA31B5ACED3}"/>
    <hyperlink ref="F15" r:id="rId45" xr:uid="{55E92B9B-4E33-43A7-85D3-05B3DCB0D5BF}"/>
    <hyperlink ref="F16" r:id="rId46" xr:uid="{D362C9AC-1BC3-4FA1-A4BB-B0421232BC08}"/>
    <hyperlink ref="F21" r:id="rId47" xr:uid="{16460146-CB79-482D-A2F1-7FB4DAC19D81}"/>
    <hyperlink ref="F22" r:id="rId48" xr:uid="{33ACD4A8-EA96-4436-AC1D-23663EF7DCF4}"/>
    <hyperlink ref="F26" r:id="rId49" xr:uid="{708049D6-F21B-49C5-9A1C-86256354C8CF}"/>
    <hyperlink ref="F27" r:id="rId50" xr:uid="{57AC010E-061F-4A34-BD01-2BA430BE51DD}"/>
    <hyperlink ref="F31" r:id="rId51" xr:uid="{DB878489-7006-44D0-B26F-4B27452F78EF}"/>
    <hyperlink ref="F32" r:id="rId52" xr:uid="{A5869744-DEB3-478F-A1FA-C7CC3DB9C20E}"/>
    <hyperlink ref="F34" r:id="rId53" xr:uid="{4058CA47-194A-46F6-BE56-82CC262CCB56}"/>
    <hyperlink ref="F35" r:id="rId54" xr:uid="{1FFDBCF7-200F-492E-A8F4-22D7B89D224A}"/>
    <hyperlink ref="F36" r:id="rId55" xr:uid="{8D91FAE4-ED5F-4802-8A44-61EDC1B262C0}"/>
    <hyperlink ref="F39" r:id="rId56" xr:uid="{CCD76F92-0F36-429B-B401-FBD9C6BDB6F7}"/>
    <hyperlink ref="F40" r:id="rId57" xr:uid="{00470C25-1D34-41BE-B360-A4AA35E96FFE}"/>
    <hyperlink ref="F41" r:id="rId58" xr:uid="{61547AAA-6BDB-427D-852B-7838CF41FC3D}"/>
    <hyperlink ref="F42" r:id="rId59" xr:uid="{072E9166-6A21-4BA0-AD31-9D1085FE5179}"/>
    <hyperlink ref="F43" r:id="rId60" xr:uid="{8BCAB4B8-0FA8-4252-9223-A463F2057AA8}"/>
    <hyperlink ref="F44" r:id="rId61" xr:uid="{43897796-4308-488A-8AE7-8DEF2C5E90BD}"/>
    <hyperlink ref="F46" r:id="rId62" xr:uid="{D0C8E1CE-6C06-4778-B397-B81A98694442}"/>
    <hyperlink ref="F47" r:id="rId63" xr:uid="{75FA80AB-BBD2-468D-9406-5FFDF768E735}"/>
    <hyperlink ref="F50" r:id="rId64" xr:uid="{99B6B1A6-1034-4662-8FA7-AD943C8783A1}"/>
    <hyperlink ref="F51" r:id="rId65" xr:uid="{F2CA5AB3-B4F6-423C-B441-2009BE19B202}"/>
    <hyperlink ref="F53" r:id="rId66" xr:uid="{04D55C6A-999D-4D2A-83C0-87C0B039AE29}"/>
    <hyperlink ref="F54" r:id="rId67" xr:uid="{E9E72548-9EEE-47FF-BF87-9D8B89B59B17}"/>
    <hyperlink ref="F55" r:id="rId68" xr:uid="{4E1CC379-4DCE-43EF-825D-62EFCF536E6E}"/>
    <hyperlink ref="F56" r:id="rId69" xr:uid="{BCBC66A7-D404-4A44-B2EE-84984B05D724}"/>
    <hyperlink ref="F57" r:id="rId70" xr:uid="{219535FB-84A6-4D53-93F3-05377C275610}"/>
    <hyperlink ref="E29" r:id="rId71" xr:uid="{E20009F7-473A-4B14-82B7-D3164B55833C}"/>
    <hyperlink ref="E17" r:id="rId72" xr:uid="{D9271DE4-767F-41CB-8FE1-7ABF35FB97AB}"/>
    <hyperlink ref="F17" r:id="rId73" xr:uid="{918271A8-5882-4160-A1D1-6CE33A91F12F}"/>
    <hyperlink ref="E33" r:id="rId74" xr:uid="{26123411-2C8F-45FA-83DB-32C179F3F3D9}"/>
    <hyperlink ref="F33" r:id="rId75" xr:uid="{EDA9DE29-60EB-4BA6-B8CB-97C5D815B322}"/>
    <hyperlink ref="E37" r:id="rId76" xr:uid="{F8345B90-6B12-4F85-9E4C-C1AE11DECC70}"/>
    <hyperlink ref="F37" r:id="rId77" xr:uid="{B5A04FF6-2568-4190-B565-8CA81CBF5938}"/>
    <hyperlink ref="E18" r:id="rId78" xr:uid="{3C98623B-30C7-4924-AD66-B8C1BE79BD5E}"/>
    <hyperlink ref="F18" r:id="rId79" xr:uid="{30E82238-A9C2-47B0-AC9D-8F835EB8DC7D}"/>
    <hyperlink ref="E23" r:id="rId80" xr:uid="{735D9426-2055-44B8-B545-28F148F6A84E}"/>
    <hyperlink ref="F23" r:id="rId81" xr:uid="{E5C4E183-901F-4FD5-9FC6-6061644F5F7E}"/>
    <hyperlink ref="E28" r:id="rId82" xr:uid="{D67A1ACF-9EFC-4058-B9E6-F00A4B67DD37}"/>
    <hyperlink ref="F28" r:id="rId83" xr:uid="{9549E7ED-B683-4A99-BD6D-B5E3496A591A}"/>
    <hyperlink ref="E24" r:id="rId84" xr:uid="{1E41A976-0276-4FB2-BB22-D3E4B80C6973}"/>
    <hyperlink ref="F24" r:id="rId85" xr:uid="{47219D89-3F47-426F-9552-8923F7BE8A92}"/>
    <hyperlink ref="E38" r:id="rId86" xr:uid="{6162B7CF-3ADA-4114-922A-FBCBBE59E50B}"/>
    <hyperlink ref="E25" r:id="rId87" xr:uid="{E2C2D5E1-C902-47D4-9C3E-9EFA8ACD0498}"/>
    <hyperlink ref="E3" r:id="rId88" xr:uid="{1278E6B3-2EA3-4B8B-A802-062368DB9F4A}"/>
    <hyperlink ref="E52" r:id="rId89" xr:uid="{6E1E5C1A-72CD-4E7A-BF5F-4579156EB938}"/>
    <hyperlink ref="F52" r:id="rId90" xr:uid="{C4B0D52B-8527-48ED-A40B-818BC969AD9B}"/>
    <hyperlink ref="E10" r:id="rId91" xr:uid="{215E1AA0-2EB8-4180-BAC5-B28482FDFB97}"/>
    <hyperlink ref="F10" r:id="rId92" xr:uid="{C226879E-DA8C-42A3-9F24-3A34B7674838}"/>
    <hyperlink ref="E20" r:id="rId93" xr:uid="{E2E31907-6E64-49CD-B36F-5CD4B7B85943}"/>
    <hyperlink ref="F20" r:id="rId94" xr:uid="{C5F34B8A-0FEF-4344-BDBB-F4F50755BAC6}"/>
    <hyperlink ref="E45" r:id="rId95" xr:uid="{7F19639D-5E24-4883-9F7E-67397A65C11E}"/>
    <hyperlink ref="F45" r:id="rId96" xr:uid="{F7411251-F40E-40DB-BE7D-B16288208AD1}"/>
    <hyperlink ref="C52" r:id="rId97" xr:uid="{2228AE3A-FB37-4C55-BCC4-22D7546C6904}"/>
    <hyperlink ref="C54" r:id="rId98" xr:uid="{A09563D3-4250-4328-AC86-AB610A99F2D5}"/>
    <hyperlink ref="C56" r:id="rId99" xr:uid="{46AC68C7-DCF7-423D-86AD-063B65CA1ADF}"/>
    <hyperlink ref="C42" r:id="rId100" xr:uid="{EF03CB4D-CBE6-424D-9B11-BB668B65CC27}"/>
    <hyperlink ref="C33" r:id="rId101" location=":~:text=March%206%2C%202026-,2025%20Year%20in%20Review:%20Explore%20Your%20Oura%20Data%20&amp;%20Global%20Wellness,with%20your%20friends%20and%20family!" xr:uid="{547D6095-76DF-459A-8E0E-D462397F34B1}"/>
    <hyperlink ref="C15" r:id="rId102" xr:uid="{62FBAF0D-A0A2-4886-8D7D-F4BA84940D97}"/>
    <hyperlink ref="C16" r:id="rId103" xr:uid="{B4218B34-BB43-4D60-9BD2-2C54B70C6950}"/>
    <hyperlink ref="C38" r:id="rId104" xr:uid="{212379C2-4EC5-4D06-A7DF-7BD0EACF8383}"/>
    <hyperlink ref="C50" r:id="rId105" xr:uid="{09B77492-A0FE-4CD9-BDE6-5D09805AF443}"/>
    <hyperlink ref="C26" r:id="rId106" location="title-page" xr:uid="{DD62BBEA-7FF1-4125-90C8-39925AEAC158}"/>
    <hyperlink ref="C32" r:id="rId107" xr:uid="{A8D67C41-B4ED-40B5-B4D1-20D492B38421}"/>
    <hyperlink ref="C49" r:id="rId108" xr:uid="{72F7413A-95FC-4A9B-BA1C-7EA7C027703F}"/>
    <hyperlink ref="C46" r:id="rId109" xr:uid="{887C4436-9EC3-4F2F-A71F-4AC99ECE1D59}"/>
    <hyperlink ref="C19" r:id="rId110" xr:uid="{2B5D71BF-6D9F-420E-B63E-ACDEFF0C47B1}"/>
    <hyperlink ref="C30" r:id="rId111" xr:uid="{D12C0F49-90CE-49EB-B801-58889672686E}"/>
    <hyperlink ref="C17" r:id="rId112" xr:uid="{A4FD3DDF-3179-48BF-9392-83489B556DFC}"/>
    <hyperlink ref="C48" r:id="rId113" xr:uid="{ED4C8F61-46C2-49F0-8B97-ACECC9CF6592}"/>
    <hyperlink ref="C9" r:id="rId114" xr:uid="{CD05E0D1-F5DC-4DD8-A0A0-5BC00808CFB4}"/>
    <hyperlink ref="C6" r:id="rId115" xr:uid="{65B43EBB-C1C1-4FD9-A967-83C8D50C956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A412-280A-49E6-B4DB-1DBF87A391F5}">
  <dimension ref="A1:J64"/>
  <sheetViews>
    <sheetView workbookViewId="0">
      <selection activeCell="C44" sqref="C44"/>
    </sheetView>
  </sheetViews>
  <sheetFormatPr defaultColWidth="0" defaultRowHeight="18.75" customHeight="1" zeroHeight="1"/>
  <cols>
    <col min="1" max="1" width="22.42578125" style="2" customWidth="1"/>
    <col min="2" max="2" width="67.28515625" style="2" bestFit="1" customWidth="1"/>
    <col min="3" max="3" width="19.7109375" style="46" bestFit="1" customWidth="1"/>
    <col min="4" max="4" width="19.7109375" style="2" bestFit="1" customWidth="1"/>
    <col min="5" max="5" width="22.7109375" style="2" bestFit="1" customWidth="1"/>
    <col min="6" max="7" width="19.7109375" style="2" customWidth="1"/>
    <col min="8" max="8" width="34" style="2" bestFit="1" customWidth="1"/>
    <col min="9" max="9" width="134.42578125" style="2" bestFit="1" customWidth="1"/>
    <col min="10" max="10" width="34.5703125" style="2" bestFit="1" customWidth="1"/>
    <col min="11" max="16384" width="0" style="2" hidden="1"/>
  </cols>
  <sheetData>
    <row r="1" spans="1:10">
      <c r="A1" s="1" t="s">
        <v>28</v>
      </c>
      <c r="B1" s="8" t="s">
        <v>89</v>
      </c>
      <c r="C1" s="43" t="s">
        <v>222</v>
      </c>
      <c r="D1" s="8" t="s">
        <v>223</v>
      </c>
      <c r="E1" s="8" t="s">
        <v>224</v>
      </c>
      <c r="F1" s="8" t="s">
        <v>92</v>
      </c>
      <c r="G1" s="8" t="s">
        <v>93</v>
      </c>
      <c r="H1" s="8" t="s">
        <v>225</v>
      </c>
      <c r="I1" s="1" t="s">
        <v>94</v>
      </c>
      <c r="J1" s="1" t="s">
        <v>218</v>
      </c>
    </row>
    <row r="2" spans="1:10">
      <c r="A2" s="7" t="s">
        <v>95</v>
      </c>
      <c r="B2" s="5" t="s">
        <v>96</v>
      </c>
      <c r="C2" s="44" t="s">
        <v>226</v>
      </c>
      <c r="D2" s="3" t="s">
        <v>227</v>
      </c>
      <c r="G2" s="13" t="s">
        <v>228</v>
      </c>
      <c r="H2" s="2" t="s">
        <v>229</v>
      </c>
      <c r="I2" s="3" t="s">
        <v>97</v>
      </c>
      <c r="J2" s="3" t="s">
        <v>219</v>
      </c>
    </row>
    <row r="3" spans="1:10">
      <c r="A3" s="7" t="s">
        <v>98</v>
      </c>
      <c r="B3" s="5" t="s">
        <v>99</v>
      </c>
      <c r="C3" s="44" t="s">
        <v>226</v>
      </c>
      <c r="G3" s="13" t="s">
        <v>230</v>
      </c>
      <c r="H3" s="2" t="s">
        <v>229</v>
      </c>
      <c r="I3" s="3" t="s">
        <v>100</v>
      </c>
      <c r="J3" s="3"/>
    </row>
    <row r="4" spans="1:10">
      <c r="A4" s="9" t="s">
        <v>101</v>
      </c>
      <c r="B4" s="6" t="s">
        <v>102</v>
      </c>
      <c r="C4" s="44" t="s">
        <v>226</v>
      </c>
      <c r="D4" s="3" t="s">
        <v>227</v>
      </c>
      <c r="E4" s="11"/>
      <c r="F4" s="11"/>
      <c r="G4" s="14" t="s">
        <v>231</v>
      </c>
      <c r="H4" s="11" t="s">
        <v>229</v>
      </c>
      <c r="I4" s="3" t="s">
        <v>103</v>
      </c>
      <c r="J4" s="3" t="s">
        <v>219</v>
      </c>
    </row>
    <row r="5" spans="1:10" ht="45.75">
      <c r="A5" s="9" t="s">
        <v>232</v>
      </c>
      <c r="B5" s="6" t="s">
        <v>233</v>
      </c>
      <c r="C5" s="44" t="s">
        <v>234</v>
      </c>
      <c r="D5" s="3"/>
      <c r="E5" s="11"/>
      <c r="F5" s="11"/>
      <c r="G5" s="14"/>
      <c r="H5" s="11"/>
      <c r="I5" s="3"/>
      <c r="J5" s="3"/>
    </row>
    <row r="6" spans="1:10">
      <c r="A6" s="7" t="s">
        <v>108</v>
      </c>
      <c r="B6" s="6" t="s">
        <v>109</v>
      </c>
      <c r="C6" s="44" t="s">
        <v>226</v>
      </c>
      <c r="D6" s="3" t="s">
        <v>227</v>
      </c>
      <c r="E6" s="11"/>
      <c r="F6" s="11"/>
      <c r="G6" s="14" t="s">
        <v>235</v>
      </c>
      <c r="H6" s="11" t="s">
        <v>229</v>
      </c>
      <c r="I6" s="3" t="s">
        <v>110</v>
      </c>
      <c r="J6" s="3" t="s">
        <v>219</v>
      </c>
    </row>
    <row r="7" spans="1:10">
      <c r="A7" s="7" t="s">
        <v>111</v>
      </c>
      <c r="B7" s="6" t="s">
        <v>112</v>
      </c>
      <c r="C7" s="44" t="s">
        <v>226</v>
      </c>
      <c r="D7" s="3" t="s">
        <v>227</v>
      </c>
      <c r="E7" s="11"/>
      <c r="F7" s="11"/>
      <c r="G7" s="14" t="s">
        <v>236</v>
      </c>
      <c r="H7" s="11" t="s">
        <v>229</v>
      </c>
      <c r="I7" s="3" t="s">
        <v>113</v>
      </c>
      <c r="J7" s="3" t="s">
        <v>219</v>
      </c>
    </row>
    <row r="8" spans="1:10">
      <c r="A8" s="7" t="s">
        <v>116</v>
      </c>
      <c r="B8" s="6" t="s">
        <v>117</v>
      </c>
      <c r="C8" s="44" t="s">
        <v>226</v>
      </c>
      <c r="D8" s="11"/>
      <c r="E8" s="11"/>
      <c r="F8" s="11"/>
      <c r="G8" s="14"/>
      <c r="H8" s="11" t="s">
        <v>229</v>
      </c>
      <c r="I8" s="3" t="s">
        <v>118</v>
      </c>
      <c r="J8" s="3" t="s">
        <v>219</v>
      </c>
    </row>
    <row r="9" spans="1:10">
      <c r="A9" s="7" t="s">
        <v>119</v>
      </c>
      <c r="B9" s="6" t="s">
        <v>120</v>
      </c>
      <c r="C9" s="44" t="s">
        <v>226</v>
      </c>
      <c r="D9" s="3" t="s">
        <v>227</v>
      </c>
      <c r="E9" s="11"/>
      <c r="F9" s="11"/>
      <c r="G9" s="14" t="s">
        <v>235</v>
      </c>
      <c r="H9" s="11" t="s">
        <v>229</v>
      </c>
      <c r="I9" s="3" t="s">
        <v>110</v>
      </c>
      <c r="J9" s="3" t="s">
        <v>219</v>
      </c>
    </row>
    <row r="10" spans="1:10">
      <c r="A10" s="7" t="s">
        <v>121</v>
      </c>
      <c r="B10" s="6" t="s">
        <v>122</v>
      </c>
      <c r="C10" s="44" t="s">
        <v>226</v>
      </c>
      <c r="D10" s="3" t="s">
        <v>227</v>
      </c>
      <c r="E10" s="11"/>
      <c r="F10" s="11"/>
      <c r="G10" s="14" t="s">
        <v>237</v>
      </c>
      <c r="H10" s="11" t="s">
        <v>229</v>
      </c>
      <c r="I10" s="3" t="s">
        <v>123</v>
      </c>
      <c r="J10" s="3" t="s">
        <v>219</v>
      </c>
    </row>
    <row r="11" spans="1:10">
      <c r="A11" s="9" t="s">
        <v>124</v>
      </c>
      <c r="B11" s="6" t="s">
        <v>125</v>
      </c>
      <c r="C11" s="44" t="s">
        <v>226</v>
      </c>
      <c r="D11" s="3" t="s">
        <v>227</v>
      </c>
      <c r="E11" s="11"/>
      <c r="F11" s="11"/>
      <c r="G11" s="14" t="s">
        <v>238</v>
      </c>
      <c r="H11" s="11" t="s">
        <v>229</v>
      </c>
      <c r="I11" s="3" t="s">
        <v>113</v>
      </c>
      <c r="J11" s="3" t="s">
        <v>219</v>
      </c>
    </row>
    <row r="12" spans="1:10">
      <c r="A12" s="7" t="s">
        <v>126</v>
      </c>
      <c r="B12" s="6" t="s">
        <v>127</v>
      </c>
      <c r="C12" s="44" t="s">
        <v>226</v>
      </c>
      <c r="D12" s="3" t="s">
        <v>227</v>
      </c>
      <c r="E12" s="11"/>
      <c r="F12" s="11"/>
      <c r="G12" s="14" t="s">
        <v>235</v>
      </c>
      <c r="H12" s="11" t="s">
        <v>229</v>
      </c>
      <c r="I12" s="3" t="s">
        <v>128</v>
      </c>
      <c r="J12" s="3" t="s">
        <v>219</v>
      </c>
    </row>
    <row r="13" spans="1:10">
      <c r="A13" s="9" t="s">
        <v>4</v>
      </c>
      <c r="B13" s="5" t="s">
        <v>129</v>
      </c>
      <c r="C13" s="44" t="s">
        <v>226</v>
      </c>
      <c r="D13" s="3" t="s">
        <v>227</v>
      </c>
      <c r="G13" s="13" t="s">
        <v>239</v>
      </c>
      <c r="H13" s="11" t="s">
        <v>229</v>
      </c>
      <c r="I13" s="3" t="s">
        <v>131</v>
      </c>
      <c r="J13" s="3" t="s">
        <v>219</v>
      </c>
    </row>
    <row r="14" spans="1:10">
      <c r="A14" s="7" t="s">
        <v>6</v>
      </c>
      <c r="B14" s="5" t="s">
        <v>109</v>
      </c>
      <c r="C14" s="44" t="s">
        <v>226</v>
      </c>
      <c r="G14" s="13" t="s">
        <v>230</v>
      </c>
      <c r="H14" s="2" t="s">
        <v>229</v>
      </c>
      <c r="I14" s="3" t="s">
        <v>134</v>
      </c>
      <c r="J14" s="3" t="s">
        <v>219</v>
      </c>
    </row>
    <row r="15" spans="1:10">
      <c r="A15" s="7" t="s">
        <v>135</v>
      </c>
      <c r="B15" s="5" t="s">
        <v>136</v>
      </c>
      <c r="C15" s="44" t="s">
        <v>226</v>
      </c>
      <c r="D15" s="3" t="s">
        <v>227</v>
      </c>
      <c r="G15" s="13" t="s">
        <v>239</v>
      </c>
      <c r="H15" s="2" t="s">
        <v>229</v>
      </c>
      <c r="I15" s="3" t="s">
        <v>137</v>
      </c>
      <c r="J15" s="3" t="s">
        <v>219</v>
      </c>
    </row>
    <row r="16" spans="1:10">
      <c r="A16" s="7" t="s">
        <v>139</v>
      </c>
      <c r="B16" s="5" t="s">
        <v>140</v>
      </c>
      <c r="C16" s="44" t="s">
        <v>226</v>
      </c>
      <c r="G16" s="13" t="s">
        <v>239</v>
      </c>
      <c r="H16" s="2" t="s">
        <v>229</v>
      </c>
      <c r="I16" s="3" t="s">
        <v>141</v>
      </c>
      <c r="J16" s="3" t="s">
        <v>219</v>
      </c>
    </row>
    <row r="17" spans="1:10">
      <c r="A17" s="7" t="s">
        <v>142</v>
      </c>
      <c r="B17" s="5" t="s">
        <v>143</v>
      </c>
      <c r="C17" s="44" t="s">
        <v>226</v>
      </c>
      <c r="D17" s="3" t="s">
        <v>227</v>
      </c>
      <c r="G17" s="13" t="s">
        <v>240</v>
      </c>
      <c r="H17" s="2" t="s">
        <v>229</v>
      </c>
      <c r="I17" s="3" t="s">
        <v>123</v>
      </c>
      <c r="J17" s="3" t="s">
        <v>219</v>
      </c>
    </row>
    <row r="18" spans="1:10">
      <c r="A18" s="9" t="s">
        <v>144</v>
      </c>
      <c r="B18" s="5" t="s">
        <v>109</v>
      </c>
      <c r="C18" s="44" t="s">
        <v>226</v>
      </c>
      <c r="G18" s="13" t="s">
        <v>241</v>
      </c>
      <c r="H18" s="2" t="s">
        <v>229</v>
      </c>
      <c r="I18" s="3" t="s">
        <v>123</v>
      </c>
      <c r="J18" s="3" t="s">
        <v>220</v>
      </c>
    </row>
    <row r="19" spans="1:10">
      <c r="A19" s="15" t="s">
        <v>145</v>
      </c>
      <c r="B19" s="5" t="s">
        <v>146</v>
      </c>
      <c r="C19" s="44" t="s">
        <v>226</v>
      </c>
      <c r="D19" s="2" t="s">
        <v>242</v>
      </c>
      <c r="G19" s="13" t="s">
        <v>243</v>
      </c>
      <c r="H19" s="2" t="s">
        <v>229</v>
      </c>
      <c r="I19" s="3" t="s">
        <v>147</v>
      </c>
      <c r="J19" s="3" t="s">
        <v>219</v>
      </c>
    </row>
    <row r="20" spans="1:10">
      <c r="A20" s="7" t="s">
        <v>148</v>
      </c>
      <c r="B20" s="5" t="s">
        <v>149</v>
      </c>
      <c r="C20" s="44" t="s">
        <v>226</v>
      </c>
      <c r="D20" s="3" t="s">
        <v>227</v>
      </c>
      <c r="G20" s="13" t="s">
        <v>235</v>
      </c>
      <c r="H20" s="2" t="s">
        <v>229</v>
      </c>
      <c r="I20" s="3" t="s">
        <v>150</v>
      </c>
      <c r="J20" s="3" t="s">
        <v>220</v>
      </c>
    </row>
    <row r="21" spans="1:10">
      <c r="A21" s="7" t="s">
        <v>151</v>
      </c>
      <c r="B21" s="5" t="s">
        <v>152</v>
      </c>
      <c r="C21" s="44" t="s">
        <v>226</v>
      </c>
      <c r="G21" s="13" t="s">
        <v>244</v>
      </c>
      <c r="H21" s="2" t="s">
        <v>229</v>
      </c>
      <c r="I21" s="3" t="s">
        <v>153</v>
      </c>
      <c r="J21" s="3"/>
    </row>
    <row r="22" spans="1:10">
      <c r="A22" s="7" t="s">
        <v>8</v>
      </c>
      <c r="B22" s="6" t="s">
        <v>245</v>
      </c>
      <c r="C22" s="44" t="s">
        <v>226</v>
      </c>
      <c r="D22" s="3" t="s">
        <v>227</v>
      </c>
      <c r="E22" s="11"/>
      <c r="F22" s="11"/>
      <c r="G22" s="13" t="s">
        <v>246</v>
      </c>
      <c r="H22" s="11" t="s">
        <v>247</v>
      </c>
      <c r="I22" s="3" t="s">
        <v>155</v>
      </c>
      <c r="J22" s="3" t="s">
        <v>219</v>
      </c>
    </row>
    <row r="23" spans="1:10">
      <c r="A23" s="9" t="s">
        <v>156</v>
      </c>
      <c r="B23" s="5" t="s">
        <v>157</v>
      </c>
      <c r="C23" s="44" t="s">
        <v>226</v>
      </c>
      <c r="G23" s="13" t="s">
        <v>243</v>
      </c>
      <c r="H23" s="2" t="s">
        <v>229</v>
      </c>
      <c r="I23" s="3" t="s">
        <v>128</v>
      </c>
      <c r="J23" s="3" t="s">
        <v>219</v>
      </c>
    </row>
    <row r="24" spans="1:10">
      <c r="A24" s="7" t="s">
        <v>158</v>
      </c>
      <c r="B24" s="5" t="s">
        <v>159</v>
      </c>
      <c r="C24" s="44" t="s">
        <v>226</v>
      </c>
      <c r="G24" s="13" t="s">
        <v>228</v>
      </c>
      <c r="H24" s="2" t="s">
        <v>229</v>
      </c>
      <c r="I24" s="3" t="s">
        <v>160</v>
      </c>
      <c r="J24" s="3" t="s">
        <v>219</v>
      </c>
    </row>
    <row r="25" spans="1:10">
      <c r="A25" s="9" t="s">
        <v>161</v>
      </c>
      <c r="B25" s="5" t="s">
        <v>162</v>
      </c>
      <c r="C25" s="44" t="s">
        <v>226</v>
      </c>
      <c r="D25" s="3" t="s">
        <v>227</v>
      </c>
      <c r="G25" s="13" t="s">
        <v>248</v>
      </c>
      <c r="H25" s="2" t="s">
        <v>229</v>
      </c>
      <c r="I25" s="3" t="s">
        <v>163</v>
      </c>
      <c r="J25" s="3"/>
    </row>
    <row r="26" spans="1:10">
      <c r="A26" s="7" t="s">
        <v>165</v>
      </c>
      <c r="B26" s="5" t="s">
        <v>166</v>
      </c>
      <c r="C26" s="44" t="s">
        <v>226</v>
      </c>
      <c r="D26" s="3" t="s">
        <v>227</v>
      </c>
      <c r="G26" s="13" t="s">
        <v>235</v>
      </c>
      <c r="H26" s="2" t="s">
        <v>229</v>
      </c>
      <c r="I26" s="3" t="s">
        <v>113</v>
      </c>
      <c r="J26" s="3" t="s">
        <v>220</v>
      </c>
    </row>
    <row r="27" spans="1:10">
      <c r="A27" s="7" t="s">
        <v>10</v>
      </c>
      <c r="B27" s="5" t="s">
        <v>167</v>
      </c>
      <c r="C27" s="44" t="s">
        <v>226</v>
      </c>
      <c r="D27" s="3" t="s">
        <v>227</v>
      </c>
      <c r="G27" s="13" t="s">
        <v>246</v>
      </c>
      <c r="H27" s="11" t="s">
        <v>247</v>
      </c>
      <c r="I27" s="3" t="s">
        <v>113</v>
      </c>
      <c r="J27" s="3" t="s">
        <v>219</v>
      </c>
    </row>
    <row r="28" spans="1:10">
      <c r="A28" s="7" t="s">
        <v>11</v>
      </c>
      <c r="B28" s="5" t="s">
        <v>109</v>
      </c>
      <c r="C28" s="44" t="s">
        <v>226</v>
      </c>
      <c r="G28" s="13" t="s">
        <v>237</v>
      </c>
      <c r="H28" s="2" t="s">
        <v>229</v>
      </c>
      <c r="I28" s="3" t="s">
        <v>168</v>
      </c>
      <c r="J28" s="3" t="s">
        <v>219</v>
      </c>
    </row>
    <row r="29" spans="1:10">
      <c r="A29" s="7" t="s">
        <v>169</v>
      </c>
      <c r="B29" s="5" t="s">
        <v>170</v>
      </c>
      <c r="C29" s="44" t="s">
        <v>226</v>
      </c>
      <c r="G29" s="13" t="s">
        <v>235</v>
      </c>
      <c r="H29" s="2" t="s">
        <v>229</v>
      </c>
      <c r="I29" s="3" t="s">
        <v>123</v>
      </c>
      <c r="J29" s="3" t="s">
        <v>219</v>
      </c>
    </row>
    <row r="30" spans="1:10">
      <c r="A30" s="7" t="s">
        <v>171</v>
      </c>
      <c r="B30" s="6" t="s">
        <v>172</v>
      </c>
      <c r="C30" s="44" t="s">
        <v>226</v>
      </c>
      <c r="D30" s="11"/>
      <c r="E30" s="11"/>
      <c r="F30" s="11"/>
      <c r="G30" s="14" t="s">
        <v>235</v>
      </c>
      <c r="H30" s="2" t="s">
        <v>229</v>
      </c>
      <c r="I30" s="3" t="s">
        <v>128</v>
      </c>
      <c r="J30" s="3" t="s">
        <v>219</v>
      </c>
    </row>
    <row r="31" spans="1:10">
      <c r="A31" s="7" t="s">
        <v>173</v>
      </c>
      <c r="B31" s="6" t="s">
        <v>174</v>
      </c>
      <c r="C31" s="44" t="s">
        <v>226</v>
      </c>
      <c r="D31" s="3" t="s">
        <v>227</v>
      </c>
      <c r="E31" s="11"/>
      <c r="F31" s="11"/>
      <c r="G31" s="14" t="s">
        <v>249</v>
      </c>
      <c r="H31" s="2" t="s">
        <v>229</v>
      </c>
      <c r="I31" s="3" t="s">
        <v>123</v>
      </c>
      <c r="J31" s="3" t="s">
        <v>220</v>
      </c>
    </row>
    <row r="32" spans="1:10">
      <c r="A32" s="7" t="s">
        <v>175</v>
      </c>
      <c r="B32" s="6" t="s">
        <v>176</v>
      </c>
      <c r="C32" s="44" t="s">
        <v>226</v>
      </c>
      <c r="D32" s="3" t="s">
        <v>227</v>
      </c>
      <c r="E32" s="11"/>
      <c r="F32" s="11"/>
      <c r="G32" s="14" t="s">
        <v>250</v>
      </c>
      <c r="H32" s="2" t="s">
        <v>229</v>
      </c>
      <c r="I32" s="3" t="s">
        <v>177</v>
      </c>
      <c r="J32" s="3" t="s">
        <v>219</v>
      </c>
    </row>
    <row r="33" spans="1:10">
      <c r="A33" s="7" t="s">
        <v>12</v>
      </c>
      <c r="B33" s="6" t="s">
        <v>149</v>
      </c>
      <c r="C33" s="44" t="s">
        <v>226</v>
      </c>
      <c r="D33" s="3" t="s">
        <v>227</v>
      </c>
      <c r="E33" s="11"/>
      <c r="F33" s="11"/>
      <c r="G33" s="14" t="s">
        <v>230</v>
      </c>
      <c r="H33" s="2" t="s">
        <v>229</v>
      </c>
      <c r="I33" s="3" t="s">
        <v>178</v>
      </c>
      <c r="J33" s="3"/>
    </row>
    <row r="34" spans="1:10">
      <c r="A34" s="15" t="s">
        <v>181</v>
      </c>
      <c r="B34" s="6" t="s">
        <v>182</v>
      </c>
      <c r="C34" s="45" t="s">
        <v>226</v>
      </c>
      <c r="D34" s="11"/>
      <c r="E34" s="11"/>
      <c r="F34" s="11"/>
      <c r="G34" s="14"/>
      <c r="H34" s="2" t="s">
        <v>229</v>
      </c>
      <c r="I34" s="3" t="s">
        <v>183</v>
      </c>
      <c r="J34" s="3" t="s">
        <v>219</v>
      </c>
    </row>
    <row r="35" spans="1:10">
      <c r="A35" s="7" t="s">
        <v>184</v>
      </c>
      <c r="B35" s="5" t="s">
        <v>185</v>
      </c>
      <c r="C35" s="44" t="s">
        <v>226</v>
      </c>
      <c r="D35" s="3" t="s">
        <v>227</v>
      </c>
      <c r="G35" s="13" t="s">
        <v>241</v>
      </c>
      <c r="H35" s="2" t="s">
        <v>229</v>
      </c>
      <c r="I35" s="3" t="s">
        <v>97</v>
      </c>
      <c r="J35" s="3" t="s">
        <v>219</v>
      </c>
    </row>
    <row r="36" spans="1:10">
      <c r="A36" s="9" t="s">
        <v>13</v>
      </c>
      <c r="B36" s="5" t="s">
        <v>186</v>
      </c>
      <c r="C36" s="44" t="s">
        <v>226</v>
      </c>
      <c r="G36" s="13" t="s">
        <v>230</v>
      </c>
      <c r="H36" s="2" t="s">
        <v>229</v>
      </c>
      <c r="I36" s="3" t="s">
        <v>97</v>
      </c>
      <c r="J36" s="3" t="s">
        <v>219</v>
      </c>
    </row>
    <row r="37" spans="1:10">
      <c r="A37" s="7" t="s">
        <v>187</v>
      </c>
      <c r="B37" s="5" t="s">
        <v>188</v>
      </c>
      <c r="C37" s="44" t="s">
        <v>226</v>
      </c>
      <c r="G37" s="13" t="s">
        <v>235</v>
      </c>
      <c r="H37" s="2" t="s">
        <v>229</v>
      </c>
      <c r="I37" s="3" t="s">
        <v>189</v>
      </c>
      <c r="J37" s="3" t="s">
        <v>219</v>
      </c>
    </row>
    <row r="38" spans="1:10">
      <c r="A38" s="9" t="s">
        <v>190</v>
      </c>
      <c r="B38" s="5" t="s">
        <v>191</v>
      </c>
      <c r="C38" s="44" t="s">
        <v>226</v>
      </c>
      <c r="G38" s="13" t="s">
        <v>251</v>
      </c>
      <c r="H38" s="2" t="s">
        <v>229</v>
      </c>
      <c r="I38" s="3" t="s">
        <v>110</v>
      </c>
      <c r="J38" s="3" t="s">
        <v>220</v>
      </c>
    </row>
    <row r="39" spans="1:10">
      <c r="A39" s="7" t="s">
        <v>192</v>
      </c>
      <c r="B39" s="5" t="s">
        <v>193</v>
      </c>
      <c r="C39" s="44" t="s">
        <v>226</v>
      </c>
      <c r="D39" s="3" t="s">
        <v>227</v>
      </c>
      <c r="G39" s="13" t="s">
        <v>235</v>
      </c>
      <c r="H39" s="2" t="s">
        <v>229</v>
      </c>
      <c r="I39" s="3" t="s">
        <v>194</v>
      </c>
      <c r="J39" s="3" t="s">
        <v>219</v>
      </c>
    </row>
    <row r="40" spans="1:10">
      <c r="A40" s="7" t="s">
        <v>14</v>
      </c>
      <c r="B40" s="5" t="s">
        <v>195</v>
      </c>
      <c r="C40" s="44" t="s">
        <v>226</v>
      </c>
      <c r="G40" s="13" t="s">
        <v>252</v>
      </c>
      <c r="H40" s="2" t="s">
        <v>229</v>
      </c>
      <c r="I40" s="3" t="s">
        <v>123</v>
      </c>
      <c r="J40" s="3" t="s">
        <v>219</v>
      </c>
    </row>
    <row r="41" spans="1:10">
      <c r="A41" s="7" t="s">
        <v>197</v>
      </c>
      <c r="B41" s="5" t="s">
        <v>198</v>
      </c>
      <c r="C41" s="44" t="s">
        <v>226</v>
      </c>
      <c r="D41" s="3" t="s">
        <v>227</v>
      </c>
      <c r="G41" s="13" t="s">
        <v>243</v>
      </c>
      <c r="H41" s="2" t="s">
        <v>229</v>
      </c>
      <c r="I41" s="3" t="s">
        <v>123</v>
      </c>
      <c r="J41" s="3" t="s">
        <v>219</v>
      </c>
    </row>
    <row r="42" spans="1:10">
      <c r="A42" s="10" t="s">
        <v>88</v>
      </c>
      <c r="B42" s="5" t="s">
        <v>202</v>
      </c>
      <c r="C42" s="44" t="s">
        <v>226</v>
      </c>
      <c r="D42" s="3" t="s">
        <v>227</v>
      </c>
      <c r="G42" s="13" t="s">
        <v>235</v>
      </c>
      <c r="H42" s="2" t="s">
        <v>229</v>
      </c>
      <c r="I42" s="3" t="s">
        <v>203</v>
      </c>
      <c r="J42" s="3" t="s">
        <v>219</v>
      </c>
    </row>
    <row r="43" spans="1:10">
      <c r="A43" s="7" t="s">
        <v>204</v>
      </c>
      <c r="B43" s="12" t="s">
        <v>205</v>
      </c>
      <c r="C43" s="44" t="s">
        <v>226</v>
      </c>
      <c r="G43" s="13" t="s">
        <v>249</v>
      </c>
      <c r="H43" s="2" t="s">
        <v>229</v>
      </c>
      <c r="I43" s="3" t="s">
        <v>131</v>
      </c>
      <c r="J43" s="3" t="s">
        <v>219</v>
      </c>
    </row>
    <row r="44" spans="1:10">
      <c r="A44" s="7" t="s">
        <v>17</v>
      </c>
      <c r="B44" s="12" t="s">
        <v>206</v>
      </c>
      <c r="C44" s="44" t="s">
        <v>226</v>
      </c>
      <c r="D44" s="3" t="s">
        <v>227</v>
      </c>
      <c r="G44" s="13" t="s">
        <v>235</v>
      </c>
      <c r="H44" s="2" t="s">
        <v>247</v>
      </c>
      <c r="I44" s="3" t="s">
        <v>207</v>
      </c>
      <c r="J44" s="3" t="s">
        <v>219</v>
      </c>
    </row>
    <row r="45" spans="1:10">
      <c r="A45" s="9" t="s">
        <v>213</v>
      </c>
      <c r="B45" s="5" t="s">
        <v>214</v>
      </c>
      <c r="C45" s="45" t="s">
        <v>226</v>
      </c>
      <c r="G45" s="13" t="s">
        <v>246</v>
      </c>
      <c r="H45" s="2" t="s">
        <v>229</v>
      </c>
      <c r="I45" s="3" t="s">
        <v>123</v>
      </c>
      <c r="J45" s="3" t="s">
        <v>220</v>
      </c>
    </row>
    <row r="46" spans="1:10">
      <c r="A46" s="9" t="s">
        <v>19</v>
      </c>
      <c r="B46" s="5" t="s">
        <v>215</v>
      </c>
      <c r="C46" s="44" t="s">
        <v>226</v>
      </c>
      <c r="D46" s="3" t="s">
        <v>227</v>
      </c>
      <c r="G46" s="13" t="s">
        <v>253</v>
      </c>
      <c r="H46" s="2" t="s">
        <v>229</v>
      </c>
      <c r="I46" s="3" t="s">
        <v>97</v>
      </c>
      <c r="J46" s="3" t="s">
        <v>219</v>
      </c>
    </row>
    <row r="47" spans="1:10">
      <c r="A47" s="9" t="s">
        <v>216</v>
      </c>
      <c r="B47" s="5" t="s">
        <v>217</v>
      </c>
      <c r="C47" s="44" t="s">
        <v>226</v>
      </c>
      <c r="D47" s="3" t="s">
        <v>227</v>
      </c>
      <c r="G47" s="13" t="s">
        <v>241</v>
      </c>
      <c r="H47" s="2" t="s">
        <v>229</v>
      </c>
      <c r="I47" s="3" t="s">
        <v>123</v>
      </c>
      <c r="J47" s="3" t="s">
        <v>219</v>
      </c>
    </row>
    <row r="48" spans="1:10" hidden="1">
      <c r="G48" s="13"/>
    </row>
    <row r="49" spans="7:7" hidden="1">
      <c r="G49" s="13"/>
    </row>
    <row r="50" spans="7:7" hidden="1">
      <c r="G50" s="13"/>
    </row>
    <row r="51" spans="7:7" hidden="1">
      <c r="G51" s="13"/>
    </row>
    <row r="52" spans="7:7" hidden="1"/>
    <row r="53" spans="7:7" hidden="1"/>
    <row r="54" spans="7:7" hidden="1"/>
    <row r="55" spans="7:7" hidden="1"/>
    <row r="56" spans="7:7" hidden="1"/>
    <row r="57" spans="7:7" hidden="1"/>
    <row r="58" spans="7:7" hidden="1"/>
    <row r="59" spans="7:7" hidden="1"/>
    <row r="60" spans="7:7" hidden="1"/>
    <row r="61" spans="7:7" hidden="1"/>
    <row r="62" spans="7:7" hidden="1"/>
    <row r="63" spans="7:7" hidden="1"/>
    <row r="64" spans="7:7" hidden="1"/>
  </sheetData>
  <hyperlinks>
    <hyperlink ref="I36" r:id="rId1" xr:uid="{0E235B42-3DC2-43A0-946D-B9FFD32B153B}"/>
    <hyperlink ref="I2" r:id="rId2" xr:uid="{D35736DA-497A-485E-A6B6-AD9A94C86C04}"/>
    <hyperlink ref="I46" r:id="rId3" xr:uid="{1B153839-3A20-4C0E-B56C-DFAD6034FC57}"/>
    <hyperlink ref="I35" r:id="rId4" xr:uid="{F10C7EC8-990F-4094-B8FE-E421328315A5}"/>
    <hyperlink ref="I22" r:id="rId5" xr:uid="{C36CD128-EA7F-463B-9710-23E95F5600D4}"/>
    <hyperlink ref="I23" r:id="rId6" xr:uid="{FFA7F833-C350-43F6-8FAE-BA0191C6694C}"/>
    <hyperlink ref="I30" r:id="rId7" xr:uid="{4CB999B6-8A7B-4168-9D61-2C43D3E223D9}"/>
    <hyperlink ref="I12" r:id="rId8" xr:uid="{54571D3B-E1E2-4543-BD09-2DAD8966DF8C}"/>
    <hyperlink ref="I13" r:id="rId9" xr:uid="{6CA9C8B1-29D2-4F03-8D76-D1C33F5FD2F2}"/>
    <hyperlink ref="I43" r:id="rId10" xr:uid="{E9F7F552-3ACE-4722-B61A-03C7C7F78D7F}"/>
    <hyperlink ref="I42" r:id="rId11" xr:uid="{7F39CCD5-A389-4358-AB5C-A2E65FAF7EB3}"/>
    <hyperlink ref="I4" r:id="rId12" xr:uid="{FA541179-587A-474F-8946-4F7A8DA5D8EB}"/>
    <hyperlink ref="I47" r:id="rId13" xr:uid="{355EAE39-D1D8-4B1E-A251-0DAD11C8401B}"/>
    <hyperlink ref="I10" r:id="rId14" xr:uid="{5AB36C37-17F6-4740-9953-A3DA5EBF012B}"/>
    <hyperlink ref="I41" r:id="rId15" xr:uid="{F8FD33D9-8C16-45CE-86B1-D28C7CD89AB9}"/>
    <hyperlink ref="I17" r:id="rId16" xr:uid="{3D9C2DF8-F9BC-43B7-9A42-82716FCBA874}"/>
    <hyperlink ref="I29" r:id="rId17" xr:uid="{4C95DB8C-AFC4-4DDF-ADC2-6492AA7C9132}"/>
    <hyperlink ref="I18" r:id="rId18" xr:uid="{59AE69A1-BA45-422A-99F0-5DB8F874C370}"/>
    <hyperlink ref="I31" r:id="rId19" xr:uid="{918EF5D8-A2A6-4AF2-93D6-D87009307D8B}"/>
    <hyperlink ref="I40" r:id="rId20" xr:uid="{8B7EE9AE-81BF-4D5F-9AE3-DB7F56171674}"/>
    <hyperlink ref="I45" r:id="rId21" xr:uid="{DB9ABA10-1357-4799-955D-94BFDFF89E61}"/>
    <hyperlink ref="I38" r:id="rId22" xr:uid="{CA801019-5E5F-4164-ADF9-8FF65514C304}"/>
    <hyperlink ref="I9" r:id="rId23" xr:uid="{298C5B46-CB9C-4599-8457-A8D363ED8B27}"/>
    <hyperlink ref="I6" r:id="rId24" xr:uid="{307A3964-2CEA-49E7-B052-AD94C7CA4272}"/>
    <hyperlink ref="I37" r:id="rId25" xr:uid="{697983CB-5F71-4E51-BB35-7E811D02DC31}"/>
    <hyperlink ref="I34" r:id="rId26" xr:uid="{C0635A14-C813-4291-B239-34E1BCB2DE7A}"/>
    <hyperlink ref="I26" r:id="rId27" xr:uid="{6A0FB481-3ABB-40CD-9F43-8DF14205D3D8}"/>
    <hyperlink ref="I7" r:id="rId28" xr:uid="{E6ADCD8D-D95D-4FCE-9CA7-68A268D2A20B}"/>
    <hyperlink ref="I27" r:id="rId29" xr:uid="{132FB970-DBB1-46FA-B0B8-4D75572AFB32}"/>
    <hyperlink ref="I11" r:id="rId30" xr:uid="{5EDE718D-BB02-4BDA-9A8D-45816D5818F3}"/>
    <hyperlink ref="J2" r:id="rId31" xr:uid="{F7A7C152-5E21-4F47-88BC-CA71A0808B94}"/>
    <hyperlink ref="J4" r:id="rId32" xr:uid="{9E539CDD-2E10-430B-9AE5-6DAEAF9E2618}"/>
    <hyperlink ref="J6" r:id="rId33" xr:uid="{3BF7E9D8-0689-4415-8FF2-E4642DF6CA1C}"/>
    <hyperlink ref="J7" r:id="rId34" xr:uid="{2E5F972E-D9CF-4B65-88D7-8781919B7F33}"/>
    <hyperlink ref="J9" r:id="rId35" xr:uid="{C2199D9B-20AC-4082-B246-9D600B1DC646}"/>
    <hyperlink ref="J10" r:id="rId36" xr:uid="{1074C0EF-5A4B-4E03-A101-B2AF83A397B2}"/>
    <hyperlink ref="J11" r:id="rId37" xr:uid="{83157B40-915A-4A1D-8795-E378C21A52F3}"/>
    <hyperlink ref="J12" r:id="rId38" xr:uid="{49974383-EA91-44FE-A533-F6DE44FB5C24}"/>
    <hyperlink ref="J13" r:id="rId39" xr:uid="{C734B710-B482-4710-967A-C04DC61E9771}"/>
    <hyperlink ref="J17" r:id="rId40" xr:uid="{0B95B093-C01F-4DA3-ABC4-B4122DF55F94}"/>
    <hyperlink ref="J18" r:id="rId41" xr:uid="{82D29AA2-F462-49DA-A65E-8EC42809FA40}"/>
    <hyperlink ref="J22" r:id="rId42" xr:uid="{C9FC63D2-9AA8-4B46-A83B-E12B77BD5AC1}"/>
    <hyperlink ref="J23" r:id="rId43" xr:uid="{BDB26BFD-D40E-43BC-9102-D4FC18E8D6E3}"/>
    <hyperlink ref="J26" r:id="rId44" xr:uid="{7EAFEED0-CB99-4423-9B51-7902D1462203}"/>
    <hyperlink ref="J27" r:id="rId45" xr:uid="{CE571EBD-A049-4D54-9FA1-073CF4F13D12}"/>
    <hyperlink ref="J29" r:id="rId46" xr:uid="{574C86D0-0AF6-490A-BAE2-154BD5F07E06}"/>
    <hyperlink ref="J30" r:id="rId47" xr:uid="{8EE86BDD-1CFF-4DCE-87B5-4F904F550009}"/>
    <hyperlink ref="J31" r:id="rId48" xr:uid="{C8076A89-DA87-420B-BB5B-B0CB7F48F64F}"/>
    <hyperlink ref="J34" r:id="rId49" xr:uid="{70B9273B-15DC-48B7-892B-788EB85A6E8A}"/>
    <hyperlink ref="J35" r:id="rId50" xr:uid="{B74D35F8-CCDB-4CAB-A40A-73064633F0D1}"/>
    <hyperlink ref="J36" r:id="rId51" xr:uid="{C56A052D-8CA0-44BE-9301-345CBE2B2CBB}"/>
    <hyperlink ref="J37" r:id="rId52" xr:uid="{A381DE07-D85D-472F-BDF9-9DC75BA27A41}"/>
    <hyperlink ref="J38" r:id="rId53" xr:uid="{96CFD86A-80D5-4F93-84CB-4B799856D15F}"/>
    <hyperlink ref="J40" r:id="rId54" xr:uid="{1E9C7F5E-C0CB-416F-AC4B-1CDABE495960}"/>
    <hyperlink ref="J41" r:id="rId55" xr:uid="{D8E2C13E-4B76-4E39-BC0B-52ABA39955C7}"/>
    <hyperlink ref="J42" r:id="rId56" xr:uid="{57EACD42-E673-4671-8A00-B06D3D49378A}"/>
    <hyperlink ref="J43" r:id="rId57" xr:uid="{22E837E8-5A97-4A40-9CFA-FE7F3E47E028}"/>
    <hyperlink ref="J45" r:id="rId58" xr:uid="{6AA7C5E5-439B-494D-A9AB-F9450E52B9FC}"/>
    <hyperlink ref="J46" r:id="rId59" xr:uid="{651305D8-109F-4874-9525-B498DACB0994}"/>
    <hyperlink ref="J47" r:id="rId60" xr:uid="{B0B99D0B-7ECE-4015-B7A7-104A7BE030EF}"/>
    <hyperlink ref="I25" r:id="rId61" xr:uid="{9643CC63-A9D4-4A2A-9D90-D60AA319E277}"/>
    <hyperlink ref="I14" r:id="rId62" xr:uid="{0C3B99E4-093D-4478-93F0-CE50F73A8BFD}"/>
    <hyperlink ref="J14" r:id="rId63" xr:uid="{EFC22EB5-25F4-4845-8A3C-4D96687426FA}"/>
    <hyperlink ref="I28" r:id="rId64" xr:uid="{F21C4D99-AC8B-4FA9-BBFB-452AB4B8AE45}"/>
    <hyperlink ref="J28" r:id="rId65" xr:uid="{8B0BAB4B-9C8C-4A9E-8A62-90AF8E6D7BC4}"/>
    <hyperlink ref="I32" r:id="rId66" xr:uid="{F1C49588-5D3D-4FFD-B429-F00F7AE9E0DC}"/>
    <hyperlink ref="J32" r:id="rId67" xr:uid="{E0C3F03B-8B2A-4C24-B856-421821B5FD6A}"/>
    <hyperlink ref="I15" r:id="rId68" xr:uid="{420EABB1-2AD2-44DC-BD84-11451D7F6EFE}"/>
    <hyperlink ref="J15" r:id="rId69" xr:uid="{5336CD9E-0206-40AF-A5D5-6222AFFC9803}"/>
    <hyperlink ref="I19" r:id="rId70" xr:uid="{1C1AA289-E965-4958-81C1-F9F374420448}"/>
    <hyperlink ref="J19" r:id="rId71" xr:uid="{05358EEE-4C9E-43C5-878D-B239C725B669}"/>
    <hyperlink ref="I24" r:id="rId72" xr:uid="{1C3526D4-3B78-47CE-8806-80BCDEC30982}"/>
    <hyperlink ref="J24" r:id="rId73" xr:uid="{B922842A-D845-402C-9781-8F944F08DE6C}"/>
    <hyperlink ref="I20" r:id="rId74" xr:uid="{5DF102C2-3B3A-478A-BB9A-14F129227649}"/>
    <hyperlink ref="J20" r:id="rId75" xr:uid="{7FA69107-2777-4DF9-B287-A5791CFC12C6}"/>
    <hyperlink ref="I33" r:id="rId76" xr:uid="{0DBB595D-31F7-4D38-BC14-690D593DC060}"/>
    <hyperlink ref="I21" r:id="rId77" xr:uid="{218B2F4B-F64E-4090-B311-E7DAE16F64D1}"/>
    <hyperlink ref="I3" r:id="rId78" xr:uid="{5C30FD01-86A3-40E3-898E-B04C736275EF}"/>
    <hyperlink ref="I44" r:id="rId79" xr:uid="{5DD99957-5B97-4CE4-A973-65F909DCC256}"/>
    <hyperlink ref="J44" r:id="rId80" xr:uid="{B9D3BFC2-EC72-43DD-B6B0-61DA9EC9B7F8}"/>
    <hyperlink ref="I8" r:id="rId81" xr:uid="{3388AB3D-93A8-41DC-9057-0D7A16B69BC7}"/>
    <hyperlink ref="J8" r:id="rId82" xr:uid="{518D61FE-5868-4DD3-B464-C5127D9D04EC}"/>
    <hyperlink ref="I16" r:id="rId83" xr:uid="{DC0820DB-B120-4842-9709-EDC6B6FAE627}"/>
    <hyperlink ref="J16" r:id="rId84" xr:uid="{A9187D09-F992-45E2-B6BE-3CF3530ECE7F}"/>
    <hyperlink ref="I39" r:id="rId85" xr:uid="{8786C67D-0637-438E-8311-A1D22B1F7D9E}"/>
    <hyperlink ref="J39" r:id="rId86" xr:uid="{09E4CD52-48F3-44FA-9FD6-E63DEB27DFAB}"/>
    <hyperlink ref="C2" r:id="rId87" xr:uid="{4AC81B9E-6C66-4C72-9D8A-7466982A7C00}"/>
    <hyperlink ref="D2" r:id="rId88" xr:uid="{71D68EE4-ABB3-4772-B05A-199E84E8398A}"/>
    <hyperlink ref="C3" r:id="rId89" xr:uid="{C1273F64-F9D9-42AA-9B79-74EC8A33C28B}"/>
    <hyperlink ref="C4" r:id="rId90" xr:uid="{EE577878-20D7-40E1-BA8E-B14D3C13B222}"/>
    <hyperlink ref="D4" r:id="rId91" xr:uid="{A10CA48F-CE2F-49D8-A3AA-6BB99758AFA8}"/>
    <hyperlink ref="C6" r:id="rId92" xr:uid="{A16A7F84-6DCA-4E5F-AE10-7260F5278A68}"/>
    <hyperlink ref="D6" r:id="rId93" xr:uid="{972515BF-FD74-4F70-A4FE-7A7DFD30E241}"/>
    <hyperlink ref="C7" r:id="rId94" xr:uid="{C1D4DFA8-5F93-4771-8919-2EBDDDC430CD}"/>
    <hyperlink ref="D7" r:id="rId95" xr:uid="{8066C90D-D7A6-452D-9AEA-23362836BC3A}"/>
    <hyperlink ref="D25" r:id="rId96" xr:uid="{9179A1BE-897D-4EF4-8BBE-5F9E09CA51B4}"/>
    <hyperlink ref="C8" r:id="rId97" xr:uid="{B790F0B5-4C73-4437-A140-3588D24C6AC4}"/>
    <hyperlink ref="C9" r:id="rId98" xr:uid="{D25DF551-03E6-4ABB-9092-8F53B047F8CA}"/>
    <hyperlink ref="D9" r:id="rId99" xr:uid="{2EF3682F-5E9C-40E2-8B41-F3702DE19A77}"/>
    <hyperlink ref="C10" r:id="rId100" xr:uid="{BD62D992-108E-4CC4-B921-F09600C7A9AD}"/>
    <hyperlink ref="D10" r:id="rId101" xr:uid="{1B7418FC-EAD9-4FA2-9DB1-0D96091EF857}"/>
    <hyperlink ref="C11" r:id="rId102" xr:uid="{89C8A982-3363-4CD0-BC2D-83AD3C4FFCCC}"/>
    <hyperlink ref="D11" r:id="rId103" xr:uid="{97B8ADDC-5614-4047-81F5-66347C50362A}"/>
    <hyperlink ref="C12" r:id="rId104" xr:uid="{7EAE1ED5-8795-4C04-AA9E-10CA48EA4008}"/>
    <hyperlink ref="D12" r:id="rId105" xr:uid="{39D9EDA9-5E67-485A-AAB3-48CA5201A0A2}"/>
    <hyperlink ref="C13" r:id="rId106" xr:uid="{DF5EC970-D2A8-4027-96B6-49EFD743A453}"/>
    <hyperlink ref="D13" r:id="rId107" xr:uid="{D904272F-88BE-4BE3-B745-C5A1D0924B9E}"/>
    <hyperlink ref="C14" r:id="rId108" xr:uid="{68680745-21FF-4592-9C8B-A17AC5278DC6}"/>
    <hyperlink ref="C15" r:id="rId109" xr:uid="{2F2BB9DC-5691-4AE7-9690-230D27D943CA}"/>
    <hyperlink ref="D15" r:id="rId110" xr:uid="{AA0AD3EF-A21F-47FA-A206-23460717D675}"/>
    <hyperlink ref="C16" r:id="rId111" xr:uid="{9A15F0C0-A175-4E67-95A2-DA0D9F3A039D}"/>
    <hyperlink ref="C17" r:id="rId112" xr:uid="{5B0E07A7-8174-4E37-805B-38670A4ED589}"/>
    <hyperlink ref="D17" r:id="rId113" xr:uid="{78E17E14-89BE-4169-BA33-2E4705812836}"/>
    <hyperlink ref="C18" r:id="rId114" xr:uid="{3F26BE29-C4C6-46E0-BB22-B86BCA480F20}"/>
    <hyperlink ref="C19" r:id="rId115" xr:uid="{22E81418-4CB1-497D-96D2-3C1CA4B6A0DE}"/>
    <hyperlink ref="C20" r:id="rId116" xr:uid="{3E9AE582-FEFD-4D85-AD2F-0DA0AA5EAB88}"/>
    <hyperlink ref="D20" r:id="rId117" xr:uid="{DD7320E2-8534-4464-8341-51F0F595FF16}"/>
    <hyperlink ref="C21" r:id="rId118" xr:uid="{CDB5CBE4-94C3-43CA-9240-D096E2826F86}"/>
    <hyperlink ref="C22" r:id="rId119" location="highest-rated-overall-next-ten" xr:uid="{850CEC86-538B-4C9C-BEFF-CC05BC02DFDC}"/>
    <hyperlink ref="C23" r:id="rId120" xr:uid="{1AC5A7F3-484C-48A2-BED1-84616085C214}"/>
    <hyperlink ref="C24" r:id="rId121" xr:uid="{5D2E591A-838C-48F4-98BE-2F7AA1E0B476}"/>
    <hyperlink ref="C25" r:id="rId122" xr:uid="{F6F8B219-59BE-4BB8-ADD2-7066A6F2FF0F}"/>
    <hyperlink ref="C26" r:id="rId123" xr:uid="{2F809D3C-C2B8-4B42-8855-2A07F326CD90}"/>
    <hyperlink ref="D26" r:id="rId124" xr:uid="{830F30FC-3532-40C8-A60F-0496264D7FBA}"/>
    <hyperlink ref="C27" r:id="rId125" xr:uid="{F9424742-DCEC-4DEE-84EC-5B2BBC49FFED}"/>
    <hyperlink ref="D27" r:id="rId126" xr:uid="{69285D7E-15EA-4BE9-990A-69B060BD768B}"/>
    <hyperlink ref="C28" r:id="rId127" xr:uid="{DD4CCD6A-0352-4D92-A2E0-99ACDC9AA599}"/>
    <hyperlink ref="C29" r:id="rId128" location="lightbox" xr:uid="{A4F670A8-D761-46EE-9E39-0A2B9D7895D3}"/>
    <hyperlink ref="C30" r:id="rId129" xr:uid="{BA1B1BE7-668E-49B1-B4D1-B4E12DE2DF56}"/>
    <hyperlink ref="C31" r:id="rId130" xr:uid="{3CC38234-0EEC-4199-82E9-AC85AE1373AB}"/>
    <hyperlink ref="D31" r:id="rId131" xr:uid="{2CE0D8BC-0CD4-4FB8-A91F-43A94187C4E4}"/>
    <hyperlink ref="C32" r:id="rId132" xr:uid="{D0F75CAE-AE23-4D4C-83BB-83258BE5CA9F}"/>
    <hyperlink ref="D32" r:id="rId133" xr:uid="{26EB4EB4-1217-481D-9195-755BCD47BB9B}"/>
    <hyperlink ref="C33" r:id="rId134" xr:uid="{486DC0FB-D80F-4B99-91C8-D0E4F92C0E1B}"/>
    <hyperlink ref="D33" r:id="rId135" xr:uid="{6178D553-50FD-4F8D-8BE1-1DAF39689C87}"/>
    <hyperlink ref="C35" r:id="rId136" xr:uid="{6623420E-68F2-4A32-8B5D-537CBD0D821C}"/>
    <hyperlink ref="D35" r:id="rId137" xr:uid="{46E72CD6-5A44-44ED-A565-8EB8394FC34D}"/>
    <hyperlink ref="C36" r:id="rId138" xr:uid="{5519C0DC-8F3E-4BDF-A0C9-0789E230D7C2}"/>
    <hyperlink ref="C37" r:id="rId139" xr:uid="{BEB874C8-CA05-467A-B7B6-536E7ABF8F08}"/>
    <hyperlink ref="C38" r:id="rId140" xr:uid="{4124DA97-8AF9-4B73-AF48-C13BBA7270AD}"/>
    <hyperlink ref="C39" r:id="rId141" xr:uid="{46D74CD1-BA80-41D2-B442-15FB5A6C2299}"/>
    <hyperlink ref="D39" r:id="rId142" xr:uid="{E0FC3C7D-BEBF-4AE0-8BF0-ADADEF290936}"/>
    <hyperlink ref="C40" r:id="rId143" xr:uid="{96715FDD-16F6-42D2-BAEB-21C38CBDBBE6}"/>
    <hyperlink ref="C41" r:id="rId144" xr:uid="{66FF9BC7-2A5E-4FBC-ADEF-65CAE13ADF4F}"/>
    <hyperlink ref="D41" r:id="rId145" xr:uid="{6069AE21-51DC-432A-8869-BA02BE769FF3}"/>
    <hyperlink ref="C42" r:id="rId146" xr:uid="{9372430F-94A0-4373-8CA1-A27542282ED1}"/>
    <hyperlink ref="D42" r:id="rId147" xr:uid="{11891562-A508-4532-836E-6236173E7274}"/>
    <hyperlink ref="C43" r:id="rId148" xr:uid="{47A56A18-441D-4909-A6BC-A1EC3473B2B3}"/>
    <hyperlink ref="C44" r:id="rId149" xr:uid="{A2B5E888-3985-4800-939E-712D2F5C199C}"/>
    <hyperlink ref="D44" r:id="rId150" xr:uid="{175F4C6F-F2DE-4E8D-B000-3F4D2EFC6DD3}"/>
    <hyperlink ref="C47" r:id="rId151" xr:uid="{A104E640-1224-4678-9D8F-FE52EE3F6D2F}"/>
    <hyperlink ref="D47" r:id="rId152" xr:uid="{B63677EB-24C2-49B0-B3D3-4A5DF5156DAB}"/>
    <hyperlink ref="C46" r:id="rId153" xr:uid="{51E35B04-8C02-4423-91A8-F0CBC282CAB1}"/>
    <hyperlink ref="D46" r:id="rId154" xr:uid="{7C7AF356-28C2-483C-B4A9-B0050EC404FB}"/>
    <hyperlink ref="C34" r:id="rId155" xr:uid="{BC611A57-1A61-47DC-94D1-9A7AEFE167F8}"/>
    <hyperlink ref="C45" r:id="rId156" xr:uid="{A9197028-A82F-477A-B0A4-BB504C052E5B}"/>
    <hyperlink ref="D22" r:id="rId157" xr:uid="{E9D3AC01-6E71-4678-ACFA-76D045A47B22}"/>
    <hyperlink ref="C5" r:id="rId158" xr:uid="{4789459D-1C17-4400-9887-65AC43684D9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852D-BB70-480A-8B0E-F4F51385925C}">
  <dimension ref="A1:J69"/>
  <sheetViews>
    <sheetView topLeftCell="A4" workbookViewId="0">
      <selection activeCell="H2" sqref="H2"/>
    </sheetView>
  </sheetViews>
  <sheetFormatPr defaultColWidth="0" defaultRowHeight="18.75" customHeight="1" zeroHeight="1"/>
  <cols>
    <col min="1" max="1" width="22.42578125" style="2" customWidth="1"/>
    <col min="2" max="2" width="67.28515625" style="2" bestFit="1" customWidth="1"/>
    <col min="3" max="4" width="19.7109375" style="2" bestFit="1" customWidth="1"/>
    <col min="5" max="5" width="22.7109375" style="2" bestFit="1" customWidth="1"/>
    <col min="6" max="7" width="19.7109375" style="2" customWidth="1"/>
    <col min="8" max="8" width="34" style="2" bestFit="1" customWidth="1"/>
    <col min="9" max="9" width="134.42578125" style="2" bestFit="1" customWidth="1"/>
    <col min="10" max="10" width="34.5703125" style="2" bestFit="1" customWidth="1"/>
    <col min="11" max="16384" width="0" style="2" hidden="1"/>
  </cols>
  <sheetData>
    <row r="1" spans="1:10">
      <c r="A1" s="1" t="s">
        <v>28</v>
      </c>
      <c r="B1" s="8" t="s">
        <v>89</v>
      </c>
      <c r="C1" s="8" t="s">
        <v>222</v>
      </c>
      <c r="D1" s="8" t="s">
        <v>223</v>
      </c>
      <c r="E1" s="8" t="s">
        <v>224</v>
      </c>
      <c r="F1" s="8" t="s">
        <v>92</v>
      </c>
      <c r="G1" s="8" t="s">
        <v>93</v>
      </c>
      <c r="H1" s="8" t="s">
        <v>225</v>
      </c>
      <c r="I1" s="1" t="s">
        <v>94</v>
      </c>
      <c r="J1" s="1" t="s">
        <v>218</v>
      </c>
    </row>
    <row r="2" spans="1:10">
      <c r="A2" s="7" t="s">
        <v>95</v>
      </c>
      <c r="B2" s="5" t="s">
        <v>96</v>
      </c>
      <c r="C2" s="3" t="s">
        <v>226</v>
      </c>
      <c r="D2" s="3" t="s">
        <v>227</v>
      </c>
      <c r="G2" s="13" t="s">
        <v>228</v>
      </c>
      <c r="H2" s="2" t="s">
        <v>229</v>
      </c>
      <c r="I2" s="3" t="s">
        <v>97</v>
      </c>
      <c r="J2" s="3" t="s">
        <v>219</v>
      </c>
    </row>
    <row r="3" spans="1:10">
      <c r="A3" s="7" t="s">
        <v>98</v>
      </c>
      <c r="B3" s="5" t="s">
        <v>99</v>
      </c>
      <c r="C3" s="3" t="s">
        <v>226</v>
      </c>
      <c r="G3" s="13" t="s">
        <v>230</v>
      </c>
      <c r="H3" s="2" t="s">
        <v>229</v>
      </c>
      <c r="I3" s="3" t="s">
        <v>100</v>
      </c>
      <c r="J3" s="3"/>
    </row>
    <row r="4" spans="1:10">
      <c r="A4" s="9" t="s">
        <v>101</v>
      </c>
      <c r="B4" s="6" t="s">
        <v>102</v>
      </c>
      <c r="C4" s="3" t="s">
        <v>226</v>
      </c>
      <c r="D4" s="3" t="s">
        <v>227</v>
      </c>
      <c r="E4" s="11"/>
      <c r="F4" s="11"/>
      <c r="G4" s="14" t="s">
        <v>231</v>
      </c>
      <c r="H4" s="11" t="s">
        <v>229</v>
      </c>
      <c r="I4" s="3" t="s">
        <v>103</v>
      </c>
      <c r="J4" s="3" t="s">
        <v>219</v>
      </c>
    </row>
    <row r="5" spans="1:10">
      <c r="A5" s="7" t="s">
        <v>104</v>
      </c>
      <c r="B5" s="6" t="s">
        <v>105</v>
      </c>
      <c r="C5" s="3" t="s">
        <v>226</v>
      </c>
      <c r="D5" s="3" t="s">
        <v>227</v>
      </c>
      <c r="E5" s="11"/>
      <c r="F5" s="11"/>
      <c r="G5" s="14" t="s">
        <v>246</v>
      </c>
      <c r="H5" s="11" t="s">
        <v>254</v>
      </c>
      <c r="I5" s="3" t="s">
        <v>106</v>
      </c>
      <c r="J5" s="3" t="s">
        <v>220</v>
      </c>
    </row>
    <row r="6" spans="1:10">
      <c r="A6" s="7" t="s">
        <v>108</v>
      </c>
      <c r="B6" s="6" t="s">
        <v>109</v>
      </c>
      <c r="C6" s="3" t="s">
        <v>226</v>
      </c>
      <c r="D6" s="3" t="s">
        <v>227</v>
      </c>
      <c r="E6" s="11"/>
      <c r="F6" s="11"/>
      <c r="G6" s="14" t="s">
        <v>235</v>
      </c>
      <c r="H6" s="11" t="s">
        <v>229</v>
      </c>
      <c r="I6" s="3" t="s">
        <v>110</v>
      </c>
      <c r="J6" s="3" t="s">
        <v>219</v>
      </c>
    </row>
    <row r="7" spans="1:10">
      <c r="A7" s="7" t="s">
        <v>111</v>
      </c>
      <c r="B7" s="6" t="s">
        <v>112</v>
      </c>
      <c r="C7" s="3" t="s">
        <v>226</v>
      </c>
      <c r="D7" s="3" t="s">
        <v>227</v>
      </c>
      <c r="E7" s="11"/>
      <c r="F7" s="11"/>
      <c r="G7" s="14" t="s">
        <v>236</v>
      </c>
      <c r="H7" s="11" t="s">
        <v>229</v>
      </c>
      <c r="I7" s="3" t="s">
        <v>113</v>
      </c>
      <c r="J7" s="3" t="s">
        <v>219</v>
      </c>
    </row>
    <row r="8" spans="1:10">
      <c r="A8" s="7" t="s">
        <v>116</v>
      </c>
      <c r="B8" s="6" t="s">
        <v>117</v>
      </c>
      <c r="C8" s="3" t="s">
        <v>226</v>
      </c>
      <c r="D8" s="11"/>
      <c r="E8" s="11"/>
      <c r="F8" s="11"/>
      <c r="G8" s="14"/>
      <c r="H8" s="11" t="s">
        <v>229</v>
      </c>
      <c r="I8" s="3" t="s">
        <v>118</v>
      </c>
      <c r="J8" s="3" t="s">
        <v>219</v>
      </c>
    </row>
    <row r="9" spans="1:10">
      <c r="A9" s="7" t="s">
        <v>119</v>
      </c>
      <c r="B9" s="6" t="s">
        <v>120</v>
      </c>
      <c r="C9" s="3" t="s">
        <v>226</v>
      </c>
      <c r="D9" s="3" t="s">
        <v>227</v>
      </c>
      <c r="E9" s="11"/>
      <c r="F9" s="11"/>
      <c r="G9" s="14" t="s">
        <v>235</v>
      </c>
      <c r="H9" s="11" t="s">
        <v>229</v>
      </c>
      <c r="I9" s="3" t="s">
        <v>110</v>
      </c>
      <c r="J9" s="3" t="s">
        <v>219</v>
      </c>
    </row>
    <row r="10" spans="1:10">
      <c r="A10" s="7" t="s">
        <v>121</v>
      </c>
      <c r="B10" s="6" t="s">
        <v>122</v>
      </c>
      <c r="C10" s="3" t="s">
        <v>226</v>
      </c>
      <c r="D10" s="3" t="s">
        <v>227</v>
      </c>
      <c r="E10" s="11"/>
      <c r="F10" s="11"/>
      <c r="G10" s="14" t="s">
        <v>237</v>
      </c>
      <c r="H10" s="11" t="s">
        <v>229</v>
      </c>
      <c r="I10" s="3" t="s">
        <v>123</v>
      </c>
      <c r="J10" s="3" t="s">
        <v>219</v>
      </c>
    </row>
    <row r="11" spans="1:10">
      <c r="A11" s="9" t="s">
        <v>124</v>
      </c>
      <c r="B11" s="6" t="s">
        <v>125</v>
      </c>
      <c r="C11" s="3" t="s">
        <v>226</v>
      </c>
      <c r="D11" s="3" t="s">
        <v>227</v>
      </c>
      <c r="E11" s="11"/>
      <c r="F11" s="11"/>
      <c r="G11" s="14" t="s">
        <v>238</v>
      </c>
      <c r="H11" s="11" t="s">
        <v>229</v>
      </c>
      <c r="I11" s="3" t="s">
        <v>113</v>
      </c>
      <c r="J11" s="3" t="s">
        <v>219</v>
      </c>
    </row>
    <row r="12" spans="1:10">
      <c r="A12" s="7" t="s">
        <v>126</v>
      </c>
      <c r="B12" s="6" t="s">
        <v>127</v>
      </c>
      <c r="C12" s="3" t="s">
        <v>226</v>
      </c>
      <c r="D12" s="3" t="s">
        <v>227</v>
      </c>
      <c r="E12" s="11"/>
      <c r="F12" s="11"/>
      <c r="G12" s="14" t="s">
        <v>235</v>
      </c>
      <c r="H12" s="11" t="s">
        <v>229</v>
      </c>
      <c r="I12" s="3" t="s">
        <v>128</v>
      </c>
      <c r="J12" s="3" t="s">
        <v>219</v>
      </c>
    </row>
    <row r="13" spans="1:10">
      <c r="A13" s="9" t="s">
        <v>4</v>
      </c>
      <c r="B13" s="5" t="s">
        <v>129</v>
      </c>
      <c r="C13" s="3" t="s">
        <v>226</v>
      </c>
      <c r="D13" s="3" t="s">
        <v>227</v>
      </c>
      <c r="G13" s="13" t="s">
        <v>239</v>
      </c>
      <c r="H13" s="11" t="s">
        <v>229</v>
      </c>
      <c r="I13" s="3" t="s">
        <v>131</v>
      </c>
      <c r="J13" s="3" t="s">
        <v>219</v>
      </c>
    </row>
    <row r="14" spans="1:10">
      <c r="A14" s="7" t="s">
        <v>5</v>
      </c>
      <c r="B14" s="5" t="s">
        <v>132</v>
      </c>
      <c r="C14" s="3" t="s">
        <v>226</v>
      </c>
      <c r="G14" s="13" t="s">
        <v>246</v>
      </c>
      <c r="H14" s="2" t="s">
        <v>254</v>
      </c>
      <c r="I14" s="3" t="s">
        <v>123</v>
      </c>
      <c r="J14" s="3" t="s">
        <v>219</v>
      </c>
    </row>
    <row r="15" spans="1:10">
      <c r="A15" s="7" t="s">
        <v>6</v>
      </c>
      <c r="B15" s="5" t="s">
        <v>109</v>
      </c>
      <c r="C15" s="3" t="s">
        <v>226</v>
      </c>
      <c r="G15" s="13" t="s">
        <v>230</v>
      </c>
      <c r="H15" s="2" t="s">
        <v>229</v>
      </c>
      <c r="I15" s="3" t="s">
        <v>134</v>
      </c>
      <c r="J15" s="3" t="s">
        <v>219</v>
      </c>
    </row>
    <row r="16" spans="1:10">
      <c r="A16" s="7" t="s">
        <v>135</v>
      </c>
      <c r="B16" s="5" t="s">
        <v>136</v>
      </c>
      <c r="C16" s="3" t="s">
        <v>226</v>
      </c>
      <c r="D16" s="3" t="s">
        <v>227</v>
      </c>
      <c r="G16" s="13" t="s">
        <v>239</v>
      </c>
      <c r="H16" s="2" t="s">
        <v>229</v>
      </c>
      <c r="I16" s="3" t="s">
        <v>137</v>
      </c>
      <c r="J16" s="3" t="s">
        <v>219</v>
      </c>
    </row>
    <row r="17" spans="1:10">
      <c r="A17" s="7" t="s">
        <v>139</v>
      </c>
      <c r="B17" s="5" t="s">
        <v>140</v>
      </c>
      <c r="C17" s="3" t="s">
        <v>226</v>
      </c>
      <c r="G17" s="13" t="s">
        <v>239</v>
      </c>
      <c r="H17" s="2" t="s">
        <v>229</v>
      </c>
      <c r="I17" s="3" t="s">
        <v>141</v>
      </c>
      <c r="J17" s="3" t="s">
        <v>219</v>
      </c>
    </row>
    <row r="18" spans="1:10">
      <c r="A18" s="7" t="s">
        <v>142</v>
      </c>
      <c r="B18" s="5" t="s">
        <v>143</v>
      </c>
      <c r="C18" s="3" t="s">
        <v>226</v>
      </c>
      <c r="D18" s="3" t="s">
        <v>227</v>
      </c>
      <c r="G18" s="13" t="s">
        <v>240</v>
      </c>
      <c r="H18" s="2" t="s">
        <v>229</v>
      </c>
      <c r="I18" s="3" t="s">
        <v>123</v>
      </c>
      <c r="J18" s="3" t="s">
        <v>219</v>
      </c>
    </row>
    <row r="19" spans="1:10">
      <c r="A19" s="9" t="s">
        <v>144</v>
      </c>
      <c r="B19" s="5" t="s">
        <v>109</v>
      </c>
      <c r="C19" s="3" t="s">
        <v>226</v>
      </c>
      <c r="G19" s="13" t="s">
        <v>241</v>
      </c>
      <c r="H19" s="2" t="s">
        <v>229</v>
      </c>
      <c r="I19" s="3" t="s">
        <v>123</v>
      </c>
      <c r="J19" s="3" t="s">
        <v>220</v>
      </c>
    </row>
    <row r="20" spans="1:10">
      <c r="A20" s="7" t="s">
        <v>145</v>
      </c>
      <c r="B20" s="5" t="s">
        <v>146</v>
      </c>
      <c r="C20" s="3" t="s">
        <v>226</v>
      </c>
      <c r="D20" s="2" t="s">
        <v>242</v>
      </c>
      <c r="G20" s="13" t="s">
        <v>243</v>
      </c>
      <c r="H20" s="2" t="s">
        <v>229</v>
      </c>
      <c r="I20" s="3" t="s">
        <v>147</v>
      </c>
      <c r="J20" s="3" t="s">
        <v>219</v>
      </c>
    </row>
    <row r="21" spans="1:10">
      <c r="A21" s="7" t="s">
        <v>148</v>
      </c>
      <c r="B21" s="5" t="s">
        <v>149</v>
      </c>
      <c r="C21" s="3" t="s">
        <v>226</v>
      </c>
      <c r="D21" s="3" t="s">
        <v>227</v>
      </c>
      <c r="G21" s="13" t="s">
        <v>235</v>
      </c>
      <c r="H21" s="2" t="s">
        <v>229</v>
      </c>
      <c r="I21" s="3" t="s">
        <v>150</v>
      </c>
      <c r="J21" s="3" t="s">
        <v>220</v>
      </c>
    </row>
    <row r="22" spans="1:10">
      <c r="A22" s="7" t="s">
        <v>151</v>
      </c>
      <c r="B22" s="5" t="s">
        <v>152</v>
      </c>
      <c r="C22" s="3" t="s">
        <v>226</v>
      </c>
      <c r="G22" s="13" t="s">
        <v>244</v>
      </c>
      <c r="H22" s="2" t="s">
        <v>229</v>
      </c>
      <c r="I22" s="3" t="s">
        <v>153</v>
      </c>
      <c r="J22" s="3"/>
    </row>
    <row r="23" spans="1:10">
      <c r="A23" s="7" t="s">
        <v>8</v>
      </c>
      <c r="B23" s="6" t="s">
        <v>154</v>
      </c>
      <c r="C23" s="3" t="s">
        <v>226</v>
      </c>
      <c r="D23" s="11"/>
      <c r="E23" s="11"/>
      <c r="F23" s="11"/>
      <c r="G23" s="13" t="s">
        <v>246</v>
      </c>
      <c r="H23" s="11" t="s">
        <v>254</v>
      </c>
      <c r="I23" s="3" t="s">
        <v>155</v>
      </c>
      <c r="J23" s="3" t="s">
        <v>219</v>
      </c>
    </row>
    <row r="24" spans="1:10">
      <c r="A24" s="9" t="s">
        <v>156</v>
      </c>
      <c r="B24" s="5" t="s">
        <v>157</v>
      </c>
      <c r="C24" s="3" t="s">
        <v>226</v>
      </c>
      <c r="G24" s="13" t="s">
        <v>243</v>
      </c>
      <c r="H24" s="2" t="s">
        <v>229</v>
      </c>
      <c r="I24" s="3" t="s">
        <v>128</v>
      </c>
      <c r="J24" s="3" t="s">
        <v>219</v>
      </c>
    </row>
    <row r="25" spans="1:10">
      <c r="A25" s="7" t="s">
        <v>158</v>
      </c>
      <c r="B25" s="5" t="s">
        <v>159</v>
      </c>
      <c r="C25" s="3" t="s">
        <v>226</v>
      </c>
      <c r="G25" s="13" t="s">
        <v>228</v>
      </c>
      <c r="H25" s="2" t="s">
        <v>229</v>
      </c>
      <c r="I25" s="3" t="s">
        <v>160</v>
      </c>
      <c r="J25" s="3" t="s">
        <v>219</v>
      </c>
    </row>
    <row r="26" spans="1:10">
      <c r="A26" s="9" t="s">
        <v>161</v>
      </c>
      <c r="B26" s="5" t="s">
        <v>162</v>
      </c>
      <c r="C26" s="3" t="s">
        <v>226</v>
      </c>
      <c r="D26" s="3" t="s">
        <v>227</v>
      </c>
      <c r="G26" s="13" t="s">
        <v>248</v>
      </c>
      <c r="H26" s="2" t="s">
        <v>229</v>
      </c>
      <c r="I26" s="3" t="s">
        <v>163</v>
      </c>
      <c r="J26" s="3"/>
    </row>
    <row r="27" spans="1:10">
      <c r="A27" s="7" t="s">
        <v>165</v>
      </c>
      <c r="B27" s="5" t="s">
        <v>166</v>
      </c>
      <c r="C27" s="3" t="s">
        <v>226</v>
      </c>
      <c r="D27" s="3" t="s">
        <v>227</v>
      </c>
      <c r="G27" s="13" t="s">
        <v>235</v>
      </c>
      <c r="H27" s="2" t="s">
        <v>229</v>
      </c>
      <c r="I27" s="3" t="s">
        <v>113</v>
      </c>
      <c r="J27" s="3" t="s">
        <v>220</v>
      </c>
    </row>
    <row r="28" spans="1:10">
      <c r="A28" s="7" t="s">
        <v>10</v>
      </c>
      <c r="B28" s="5" t="s">
        <v>167</v>
      </c>
      <c r="C28" s="3" t="s">
        <v>226</v>
      </c>
      <c r="D28" s="3" t="s">
        <v>227</v>
      </c>
      <c r="G28" s="13" t="s">
        <v>246</v>
      </c>
      <c r="H28" s="11" t="s">
        <v>247</v>
      </c>
      <c r="I28" s="3" t="s">
        <v>113</v>
      </c>
      <c r="J28" s="3" t="s">
        <v>219</v>
      </c>
    </row>
    <row r="29" spans="1:10">
      <c r="A29" s="7" t="s">
        <v>11</v>
      </c>
      <c r="B29" s="5" t="s">
        <v>109</v>
      </c>
      <c r="C29" s="3" t="s">
        <v>226</v>
      </c>
      <c r="G29" s="13" t="s">
        <v>237</v>
      </c>
      <c r="H29" s="2" t="s">
        <v>229</v>
      </c>
      <c r="I29" s="3" t="s">
        <v>168</v>
      </c>
      <c r="J29" s="3" t="s">
        <v>219</v>
      </c>
    </row>
    <row r="30" spans="1:10">
      <c r="A30" s="7" t="s">
        <v>169</v>
      </c>
      <c r="B30" s="5" t="s">
        <v>170</v>
      </c>
      <c r="C30" s="3" t="s">
        <v>226</v>
      </c>
      <c r="G30" s="13" t="s">
        <v>235</v>
      </c>
      <c r="H30" s="2" t="s">
        <v>229</v>
      </c>
      <c r="I30" s="3" t="s">
        <v>123</v>
      </c>
      <c r="J30" s="3" t="s">
        <v>219</v>
      </c>
    </row>
    <row r="31" spans="1:10">
      <c r="A31" s="7" t="s">
        <v>171</v>
      </c>
      <c r="B31" s="6" t="s">
        <v>172</v>
      </c>
      <c r="C31" s="3" t="s">
        <v>226</v>
      </c>
      <c r="D31" s="11"/>
      <c r="E31" s="11"/>
      <c r="F31" s="11"/>
      <c r="G31" s="14" t="s">
        <v>235</v>
      </c>
      <c r="H31" s="2" t="s">
        <v>229</v>
      </c>
      <c r="I31" s="3" t="s">
        <v>128</v>
      </c>
      <c r="J31" s="3" t="s">
        <v>219</v>
      </c>
    </row>
    <row r="32" spans="1:10">
      <c r="A32" s="7" t="s">
        <v>173</v>
      </c>
      <c r="B32" s="6" t="s">
        <v>174</v>
      </c>
      <c r="C32" s="3" t="s">
        <v>226</v>
      </c>
      <c r="D32" s="3" t="s">
        <v>227</v>
      </c>
      <c r="E32" s="11"/>
      <c r="F32" s="11"/>
      <c r="G32" s="14" t="s">
        <v>249</v>
      </c>
      <c r="H32" s="2" t="s">
        <v>229</v>
      </c>
      <c r="I32" s="3" t="s">
        <v>123</v>
      </c>
      <c r="J32" s="3" t="s">
        <v>220</v>
      </c>
    </row>
    <row r="33" spans="1:10">
      <c r="A33" s="7" t="s">
        <v>175</v>
      </c>
      <c r="B33" s="6" t="s">
        <v>176</v>
      </c>
      <c r="C33" s="3" t="s">
        <v>226</v>
      </c>
      <c r="D33" s="3" t="s">
        <v>227</v>
      </c>
      <c r="E33" s="11"/>
      <c r="F33" s="11"/>
      <c r="G33" s="14" t="s">
        <v>250</v>
      </c>
      <c r="H33" s="2" t="s">
        <v>229</v>
      </c>
      <c r="I33" s="3" t="s">
        <v>177</v>
      </c>
      <c r="J33" s="3" t="s">
        <v>219</v>
      </c>
    </row>
    <row r="34" spans="1:10">
      <c r="A34" s="7" t="s">
        <v>12</v>
      </c>
      <c r="B34" s="6" t="s">
        <v>149</v>
      </c>
      <c r="C34" s="3" t="s">
        <v>226</v>
      </c>
      <c r="D34" s="3" t="s">
        <v>227</v>
      </c>
      <c r="E34" s="11"/>
      <c r="F34" s="11"/>
      <c r="G34" s="14" t="s">
        <v>230</v>
      </c>
      <c r="H34" s="2" t="s">
        <v>229</v>
      </c>
      <c r="I34" s="3" t="s">
        <v>178</v>
      </c>
      <c r="J34" s="3"/>
    </row>
    <row r="35" spans="1:10">
      <c r="A35" s="7" t="s">
        <v>179</v>
      </c>
      <c r="B35" s="6" t="s">
        <v>180</v>
      </c>
      <c r="C35" s="2" t="s">
        <v>255</v>
      </c>
      <c r="D35" s="11"/>
      <c r="E35" s="11"/>
      <c r="F35" s="11"/>
      <c r="G35" s="14"/>
      <c r="H35" s="11"/>
      <c r="I35" s="3" t="s">
        <v>123</v>
      </c>
      <c r="J35" s="3" t="s">
        <v>220</v>
      </c>
    </row>
    <row r="36" spans="1:10">
      <c r="A36" s="9" t="s">
        <v>181</v>
      </c>
      <c r="B36" s="6" t="s">
        <v>182</v>
      </c>
      <c r="C36" s="2" t="s">
        <v>256</v>
      </c>
      <c r="D36" s="11"/>
      <c r="E36" s="11"/>
      <c r="F36" s="11"/>
      <c r="G36" s="14"/>
      <c r="H36" s="11"/>
      <c r="I36" s="3" t="s">
        <v>183</v>
      </c>
      <c r="J36" s="3" t="s">
        <v>219</v>
      </c>
    </row>
    <row r="37" spans="1:10">
      <c r="A37" s="7" t="s">
        <v>184</v>
      </c>
      <c r="B37" s="5" t="s">
        <v>185</v>
      </c>
      <c r="C37" s="3" t="s">
        <v>226</v>
      </c>
      <c r="D37" s="3" t="s">
        <v>227</v>
      </c>
      <c r="G37" s="13" t="s">
        <v>241</v>
      </c>
      <c r="H37" s="2" t="s">
        <v>229</v>
      </c>
      <c r="I37" s="3" t="s">
        <v>97</v>
      </c>
      <c r="J37" s="3" t="s">
        <v>219</v>
      </c>
    </row>
    <row r="38" spans="1:10">
      <c r="A38" s="9" t="s">
        <v>13</v>
      </c>
      <c r="B38" s="5" t="s">
        <v>186</v>
      </c>
      <c r="C38" s="3" t="s">
        <v>226</v>
      </c>
      <c r="G38" s="13" t="s">
        <v>230</v>
      </c>
      <c r="H38" s="2" t="s">
        <v>229</v>
      </c>
      <c r="I38" s="3" t="s">
        <v>97</v>
      </c>
      <c r="J38" s="3" t="s">
        <v>219</v>
      </c>
    </row>
    <row r="39" spans="1:10">
      <c r="A39" s="7" t="s">
        <v>187</v>
      </c>
      <c r="B39" s="5" t="s">
        <v>188</v>
      </c>
      <c r="C39" s="3" t="s">
        <v>226</v>
      </c>
      <c r="G39" s="13" t="s">
        <v>235</v>
      </c>
      <c r="H39" s="2" t="s">
        <v>229</v>
      </c>
      <c r="I39" s="3" t="s">
        <v>189</v>
      </c>
      <c r="J39" s="3" t="s">
        <v>219</v>
      </c>
    </row>
    <row r="40" spans="1:10">
      <c r="A40" s="9" t="s">
        <v>190</v>
      </c>
      <c r="B40" s="5" t="s">
        <v>191</v>
      </c>
      <c r="C40" s="3" t="s">
        <v>226</v>
      </c>
      <c r="G40" s="13" t="s">
        <v>251</v>
      </c>
      <c r="H40" s="2" t="s">
        <v>229</v>
      </c>
      <c r="I40" s="3" t="s">
        <v>110</v>
      </c>
      <c r="J40" s="3" t="s">
        <v>220</v>
      </c>
    </row>
    <row r="41" spans="1:10">
      <c r="A41" s="7" t="s">
        <v>192</v>
      </c>
      <c r="B41" s="5" t="s">
        <v>193</v>
      </c>
      <c r="C41" s="3" t="s">
        <v>226</v>
      </c>
      <c r="D41" s="3" t="s">
        <v>227</v>
      </c>
      <c r="G41" s="13" t="s">
        <v>235</v>
      </c>
      <c r="H41" s="2" t="s">
        <v>229</v>
      </c>
      <c r="I41" s="3" t="s">
        <v>194</v>
      </c>
      <c r="J41" s="3" t="s">
        <v>219</v>
      </c>
    </row>
    <row r="42" spans="1:10">
      <c r="A42" s="7" t="s">
        <v>14</v>
      </c>
      <c r="B42" s="5" t="s">
        <v>195</v>
      </c>
      <c r="C42" s="3" t="s">
        <v>226</v>
      </c>
      <c r="G42" s="13" t="s">
        <v>252</v>
      </c>
      <c r="H42" s="2" t="s">
        <v>229</v>
      </c>
      <c r="I42" s="3" t="s">
        <v>123</v>
      </c>
      <c r="J42" s="3" t="s">
        <v>219</v>
      </c>
    </row>
    <row r="43" spans="1:10">
      <c r="A43" s="7" t="s">
        <v>197</v>
      </c>
      <c r="B43" s="5" t="s">
        <v>198</v>
      </c>
      <c r="C43" s="3" t="s">
        <v>226</v>
      </c>
      <c r="D43" s="3" t="s">
        <v>227</v>
      </c>
      <c r="G43" s="13" t="s">
        <v>243</v>
      </c>
      <c r="H43" s="2" t="s">
        <v>229</v>
      </c>
      <c r="I43" s="3" t="s">
        <v>123</v>
      </c>
      <c r="J43" s="3" t="s">
        <v>219</v>
      </c>
    </row>
    <row r="44" spans="1:10">
      <c r="A44" s="7" t="s">
        <v>16</v>
      </c>
      <c r="B44" s="5" t="s">
        <v>200</v>
      </c>
      <c r="C44" s="2" t="s">
        <v>257</v>
      </c>
      <c r="G44" s="13"/>
      <c r="H44" s="2" t="s">
        <v>229</v>
      </c>
      <c r="I44" s="3"/>
      <c r="J44" s="3"/>
    </row>
    <row r="45" spans="1:10">
      <c r="A45" s="10" t="s">
        <v>88</v>
      </c>
      <c r="B45" s="5" t="s">
        <v>202</v>
      </c>
      <c r="C45" s="3" t="s">
        <v>226</v>
      </c>
      <c r="D45" s="3" t="s">
        <v>227</v>
      </c>
      <c r="G45" s="13" t="s">
        <v>235</v>
      </c>
      <c r="H45" s="2" t="s">
        <v>229</v>
      </c>
      <c r="I45" s="3" t="s">
        <v>203</v>
      </c>
      <c r="J45" s="3" t="s">
        <v>219</v>
      </c>
    </row>
    <row r="46" spans="1:10">
      <c r="A46" s="7" t="s">
        <v>204</v>
      </c>
      <c r="B46" s="12" t="s">
        <v>205</v>
      </c>
      <c r="C46" s="3" t="s">
        <v>226</v>
      </c>
      <c r="G46" s="13" t="s">
        <v>249</v>
      </c>
      <c r="H46" s="2" t="s">
        <v>229</v>
      </c>
      <c r="I46" s="3" t="s">
        <v>131</v>
      </c>
      <c r="J46" s="3" t="s">
        <v>219</v>
      </c>
    </row>
    <row r="47" spans="1:10">
      <c r="A47" s="7" t="s">
        <v>17</v>
      </c>
      <c r="B47" s="12" t="s">
        <v>206</v>
      </c>
      <c r="C47" s="3" t="s">
        <v>226</v>
      </c>
      <c r="D47" s="3" t="s">
        <v>227</v>
      </c>
      <c r="G47" s="13" t="s">
        <v>235</v>
      </c>
      <c r="H47" s="2" t="s">
        <v>247</v>
      </c>
      <c r="I47" s="3" t="s">
        <v>207</v>
      </c>
      <c r="J47" s="3" t="s">
        <v>219</v>
      </c>
    </row>
    <row r="48" spans="1:10">
      <c r="A48" s="7" t="s">
        <v>208</v>
      </c>
      <c r="B48" s="5" t="s">
        <v>209</v>
      </c>
      <c r="C48" s="3" t="s">
        <v>226</v>
      </c>
      <c r="G48" s="13" t="s">
        <v>246</v>
      </c>
      <c r="H48" s="2" t="s">
        <v>254</v>
      </c>
      <c r="I48" s="3" t="s">
        <v>210</v>
      </c>
      <c r="J48" s="3" t="s">
        <v>219</v>
      </c>
    </row>
    <row r="49" spans="1:10">
      <c r="A49" s="7" t="s">
        <v>18</v>
      </c>
      <c r="B49" s="5" t="s">
        <v>211</v>
      </c>
      <c r="C49" s="3" t="s">
        <v>226</v>
      </c>
      <c r="G49" s="13" t="s">
        <v>246</v>
      </c>
      <c r="H49" s="2" t="s">
        <v>254</v>
      </c>
      <c r="I49" s="3" t="s">
        <v>212</v>
      </c>
      <c r="J49" s="3" t="s">
        <v>221</v>
      </c>
    </row>
    <row r="50" spans="1:10">
      <c r="A50" s="9" t="s">
        <v>213</v>
      </c>
      <c r="B50" s="5" t="s">
        <v>214</v>
      </c>
      <c r="C50" s="2" t="s">
        <v>258</v>
      </c>
      <c r="G50" s="13" t="s">
        <v>246</v>
      </c>
      <c r="H50" s="2" t="s">
        <v>229</v>
      </c>
      <c r="I50" s="3" t="s">
        <v>123</v>
      </c>
      <c r="J50" s="3" t="s">
        <v>220</v>
      </c>
    </row>
    <row r="51" spans="1:10">
      <c r="A51" s="9" t="s">
        <v>19</v>
      </c>
      <c r="B51" s="5" t="s">
        <v>215</v>
      </c>
      <c r="C51" s="3" t="s">
        <v>226</v>
      </c>
      <c r="D51" s="3" t="s">
        <v>227</v>
      </c>
      <c r="G51" s="13" t="s">
        <v>253</v>
      </c>
      <c r="H51" s="2" t="s">
        <v>229</v>
      </c>
      <c r="I51" s="3" t="s">
        <v>97</v>
      </c>
      <c r="J51" s="3" t="s">
        <v>219</v>
      </c>
    </row>
    <row r="52" spans="1:10">
      <c r="A52" s="9" t="s">
        <v>216</v>
      </c>
      <c r="B52" s="5" t="s">
        <v>217</v>
      </c>
      <c r="C52" s="3" t="s">
        <v>226</v>
      </c>
      <c r="D52" s="3" t="s">
        <v>227</v>
      </c>
      <c r="G52" s="13" t="s">
        <v>241</v>
      </c>
      <c r="H52" s="2" t="s">
        <v>229</v>
      </c>
      <c r="I52" s="3" t="s">
        <v>123</v>
      </c>
      <c r="J52" s="3" t="s">
        <v>219</v>
      </c>
    </row>
    <row r="53" spans="1:10" hidden="1">
      <c r="G53" s="13"/>
    </row>
    <row r="54" spans="1:10" hidden="1">
      <c r="G54" s="13"/>
    </row>
    <row r="55" spans="1:10" hidden="1">
      <c r="G55" s="13"/>
    </row>
    <row r="56" spans="1:10" hidden="1">
      <c r="G56" s="13"/>
    </row>
    <row r="57" spans="1:10" hidden="1"/>
    <row r="58" spans="1:10" hidden="1"/>
    <row r="59" spans="1:10" hidden="1"/>
    <row r="60" spans="1:10" hidden="1"/>
    <row r="61" spans="1:10" hidden="1"/>
    <row r="62" spans="1:10" hidden="1"/>
    <row r="63" spans="1:10" hidden="1"/>
    <row r="64" spans="1:10" hidden="1"/>
    <row r="65" hidden="1"/>
    <row r="66" hidden="1"/>
    <row r="67" hidden="1"/>
    <row r="68" hidden="1"/>
    <row r="69" hidden="1"/>
  </sheetData>
  <hyperlinks>
    <hyperlink ref="I38" r:id="rId1" xr:uid="{8738175D-81C8-49F3-ADB1-123A3DCA4711}"/>
    <hyperlink ref="I2" r:id="rId2" xr:uid="{C9B9D3FC-EF64-410F-880C-FD0E88CACA52}"/>
    <hyperlink ref="I51" r:id="rId3" xr:uid="{20ED002C-BEAD-464E-8866-1C2AEB41F39C}"/>
    <hyperlink ref="I37" r:id="rId4" xr:uid="{05BC5DB5-0592-4175-A5FC-913F10D01ADA}"/>
    <hyperlink ref="I48" r:id="rId5" xr:uid="{46781C3C-01AB-430F-A7C9-75EBD9DD7482}"/>
    <hyperlink ref="I49" r:id="rId6" xr:uid="{32C14BBE-A264-4367-8F76-0C2F653CF3E0}"/>
    <hyperlink ref="I5" r:id="rId7" xr:uid="{C2C0B687-7879-453E-81EE-25A07B0DE14E}"/>
    <hyperlink ref="I23" r:id="rId8" xr:uid="{22850D34-9E3A-439D-82C1-8DFFA8CD691B}"/>
    <hyperlink ref="I24" r:id="rId9" xr:uid="{4BCC553D-9782-430C-8048-C90AEE86AE2E}"/>
    <hyperlink ref="I31" r:id="rId10" xr:uid="{D74AA078-A31F-4E1E-97A8-AF8756F6FBA7}"/>
    <hyperlink ref="I12" r:id="rId11" xr:uid="{DD56DD35-3C23-49C7-AE69-19BE6E82AF1C}"/>
    <hyperlink ref="I13" r:id="rId12" xr:uid="{61834DA4-2742-4982-9A9D-D913F4E8AE2E}"/>
    <hyperlink ref="I46" r:id="rId13" xr:uid="{F33BF9E2-4451-4B60-A449-D615228C1090}"/>
    <hyperlink ref="I45" r:id="rId14" xr:uid="{A52AC342-D144-45A8-A8E6-73103C6A96F4}"/>
    <hyperlink ref="I4" r:id="rId15" xr:uid="{3937102B-27AC-486C-9A7E-D7EDA31CC0F9}"/>
    <hyperlink ref="I52" r:id="rId16" xr:uid="{05B35CCB-ACC9-41D2-BDDF-7CAA0CACA19F}"/>
    <hyperlink ref="I10" r:id="rId17" xr:uid="{2412A148-9BCF-4A0D-8EFA-7156374A4EDB}"/>
    <hyperlink ref="I43" r:id="rId18" xr:uid="{CF16B540-4AE7-4D96-BEF5-0142D4C82085}"/>
    <hyperlink ref="I35" r:id="rId19" xr:uid="{118E09C4-781A-4126-A441-6590FB50CD41}"/>
    <hyperlink ref="I18" r:id="rId20" xr:uid="{2D8EE87B-7092-49D2-ACFC-60AD77C3FCB0}"/>
    <hyperlink ref="I14" r:id="rId21" xr:uid="{4E80F707-A3F0-4880-BB1B-AB39B1507D17}"/>
    <hyperlink ref="I30" r:id="rId22" xr:uid="{EB2410C0-B3AE-4570-B0DD-11AA7A5A438F}"/>
    <hyperlink ref="I19" r:id="rId23" xr:uid="{E2BE9B58-6FC8-491E-9807-90288BD49C45}"/>
    <hyperlink ref="I32" r:id="rId24" xr:uid="{56821F28-C085-40AC-A268-8BE7CC56F7FB}"/>
    <hyperlink ref="I42" r:id="rId25" xr:uid="{A82B8CBD-9AFA-4EA2-A0C6-FD8DDA88E665}"/>
    <hyperlink ref="I50" r:id="rId26" xr:uid="{F5D005F7-CF94-4A46-961D-5D8D54602AA9}"/>
    <hyperlink ref="I40" r:id="rId27" xr:uid="{43BC0F33-B4F0-46E1-BEEF-E000F76BF9BA}"/>
    <hyperlink ref="I9" r:id="rId28" xr:uid="{D1248719-6A6B-423A-A20C-0BD2B37CFD64}"/>
    <hyperlink ref="I6" r:id="rId29" xr:uid="{80A44D30-05A5-4BAB-95F4-4E85F4CD77D5}"/>
    <hyperlink ref="I39" r:id="rId30" xr:uid="{C8D62A18-87C6-4F76-80F9-6C4036E57A64}"/>
    <hyperlink ref="I36" r:id="rId31" xr:uid="{95EF2907-1AD9-4901-82E2-FA3BF93D894D}"/>
    <hyperlink ref="I27" r:id="rId32" xr:uid="{C09E78B1-8EB3-4EE1-A328-1D415A2B2F28}"/>
    <hyperlink ref="I7" r:id="rId33" xr:uid="{7733B563-5B77-4057-BB5E-3AF2CF971FF4}"/>
    <hyperlink ref="I28" r:id="rId34" xr:uid="{E196C4F4-EF2F-4277-948E-32C75B2E308D}"/>
    <hyperlink ref="I11" r:id="rId35" xr:uid="{A09A7205-CEB9-435D-934B-C77E7A3CCD59}"/>
    <hyperlink ref="J2" r:id="rId36" xr:uid="{7964830E-F68B-476C-8ECC-312F90DAB7D9}"/>
    <hyperlink ref="J4" r:id="rId37" xr:uid="{9A0D7C0D-2C20-4144-8611-5201C2FB73FF}"/>
    <hyperlink ref="J5" r:id="rId38" xr:uid="{DAD852D2-DD79-4C4F-BA3F-40FE6E2FBD58}"/>
    <hyperlink ref="J6" r:id="rId39" xr:uid="{D1C7A9D4-4F09-4A3B-A491-13CC98812AF3}"/>
    <hyperlink ref="J7" r:id="rId40" xr:uid="{755CB427-B1CC-49C6-9A0C-9EFA34FA4BA7}"/>
    <hyperlink ref="J9" r:id="rId41" xr:uid="{3D1C7A50-8982-465D-8BDD-365BE6C8CC3E}"/>
    <hyperlink ref="J10" r:id="rId42" xr:uid="{4132D1BB-2882-4A89-B1E4-571A8339AFE9}"/>
    <hyperlink ref="J11" r:id="rId43" xr:uid="{8AE08D4F-02C8-49D7-95FE-5186DBB4445E}"/>
    <hyperlink ref="J12" r:id="rId44" xr:uid="{765E1683-C449-4AA1-80A9-1D475DF87361}"/>
    <hyperlink ref="J13" r:id="rId45" xr:uid="{B1322EED-7B79-4928-962B-0FE21DDF4075}"/>
    <hyperlink ref="J14" r:id="rId46" xr:uid="{0065642F-8A0E-43CC-830D-09A414194E0C}"/>
    <hyperlink ref="J18" r:id="rId47" xr:uid="{A2184492-A31E-4FBF-92AF-04D21C9F3BC8}"/>
    <hyperlink ref="J19" r:id="rId48" xr:uid="{872ABA45-4D7C-4506-B3C2-9C5B51BF14DC}"/>
    <hyperlink ref="J23" r:id="rId49" xr:uid="{971BA400-DCC6-47C7-B80F-7979A56444AA}"/>
    <hyperlink ref="J24" r:id="rId50" xr:uid="{7BD0310E-B910-4E75-9C3D-77F4B9CE8020}"/>
    <hyperlink ref="J27" r:id="rId51" xr:uid="{293D2B45-2F33-4E1B-8FFB-47DB418A10EF}"/>
    <hyperlink ref="J28" r:id="rId52" xr:uid="{7B2F7AB7-1BCB-4894-9A11-FE8E72542FDB}"/>
    <hyperlink ref="J30" r:id="rId53" xr:uid="{66074BCB-ED9B-4F71-ABC1-05B30CE261EE}"/>
    <hyperlink ref="J31" r:id="rId54" xr:uid="{0EECB734-6C74-42F0-A29F-688F44CE9168}"/>
    <hyperlink ref="J32" r:id="rId55" xr:uid="{0E9B082A-ADD8-4A2D-8B54-90BF58DEEC3F}"/>
    <hyperlink ref="J35" r:id="rId56" xr:uid="{A5539241-AB2B-468F-9025-A26B2C958C66}"/>
    <hyperlink ref="J36" r:id="rId57" xr:uid="{6E1AFB50-797A-41AB-8309-E5D0ADB77A81}"/>
    <hyperlink ref="J37" r:id="rId58" xr:uid="{0D3B1444-9D36-4FFF-8627-1B4BFDB1B554}"/>
    <hyperlink ref="J38" r:id="rId59" xr:uid="{B6B0E833-55A4-4059-98DC-0B4CA848BDEA}"/>
    <hyperlink ref="J39" r:id="rId60" xr:uid="{90104EDB-D7F5-4BCA-BF4E-E935AC320008}"/>
    <hyperlink ref="J40" r:id="rId61" xr:uid="{3C824AE8-673B-45A6-AB2D-8867564909B8}"/>
    <hyperlink ref="J42" r:id="rId62" xr:uid="{A825A12D-86A7-4A11-AD11-FA60471A46A2}"/>
    <hyperlink ref="J43" r:id="rId63" xr:uid="{E5F3DFFA-ACEB-4C95-A96E-367EA1238D16}"/>
    <hyperlink ref="J45" r:id="rId64" xr:uid="{6395886D-ABBD-4286-9CE6-9018F5E31E3A}"/>
    <hyperlink ref="J46" r:id="rId65" xr:uid="{64AE89ED-6258-4E10-8066-71A958860CA2}"/>
    <hyperlink ref="J48" r:id="rId66" xr:uid="{0CDE0067-5405-4497-BBA7-80B98873A8D4}"/>
    <hyperlink ref="J49" r:id="rId67" xr:uid="{AA98D4E0-256F-4A58-A5AD-80B2FB4717D5}"/>
    <hyperlink ref="J50" r:id="rId68" xr:uid="{F4BD7CBE-3FC1-4D46-8C82-E5BD398B0B53}"/>
    <hyperlink ref="J51" r:id="rId69" xr:uid="{FA56ADB8-6014-4B41-8881-E62BF56880B2}"/>
    <hyperlink ref="J52" r:id="rId70" xr:uid="{BE0CB890-0597-4D39-A49F-F44F6690BED7}"/>
    <hyperlink ref="I26" r:id="rId71" xr:uid="{5C9D9D47-768E-4CC5-9C90-9DEDC9A19E06}"/>
    <hyperlink ref="I15" r:id="rId72" xr:uid="{88CEF417-158B-49C5-88E5-70F9F0EF2C1D}"/>
    <hyperlink ref="J15" r:id="rId73" xr:uid="{D11284F5-473A-470C-B897-43642B139B6C}"/>
    <hyperlink ref="I29" r:id="rId74" xr:uid="{67688913-91ED-4446-91EB-2544FFEFF18A}"/>
    <hyperlink ref="J29" r:id="rId75" xr:uid="{CD49F660-8F0D-41AA-BF0D-A7706350A17B}"/>
    <hyperlink ref="I33" r:id="rId76" xr:uid="{DB6A97B1-D466-4A38-A8CD-33737B476255}"/>
    <hyperlink ref="J33" r:id="rId77" xr:uid="{03973A6B-64E1-49B7-A4D1-4741DB5B807F}"/>
    <hyperlink ref="I16" r:id="rId78" xr:uid="{C0E3281E-19DA-454B-B77F-F9ABFFCBB22C}"/>
    <hyperlink ref="J16" r:id="rId79" xr:uid="{029280D5-84AD-49CC-93A8-6314202D0B09}"/>
    <hyperlink ref="I20" r:id="rId80" xr:uid="{456DD6BC-FC1B-4CF9-BCAD-61689FE6F070}"/>
    <hyperlink ref="J20" r:id="rId81" xr:uid="{0FA860B8-B62F-490C-9C36-7425CF2C843C}"/>
    <hyperlink ref="I25" r:id="rId82" xr:uid="{B4393DA7-CF6F-49A1-B255-054CE42F5F7D}"/>
    <hyperlink ref="J25" r:id="rId83" xr:uid="{B8196143-8293-4ED8-9EB3-53C5E9CE06CD}"/>
    <hyperlink ref="I21" r:id="rId84" xr:uid="{8ED9A0E4-624F-48B9-8935-7C5FAD8AC5C1}"/>
    <hyperlink ref="J21" r:id="rId85" xr:uid="{1AAC57CD-AE8E-40F9-8793-BE69064D2496}"/>
    <hyperlink ref="I34" r:id="rId86" xr:uid="{BE325BC4-7289-4D07-B80B-D489B29B43DB}"/>
    <hyperlink ref="I22" r:id="rId87" xr:uid="{6875F10C-505B-4031-AA63-02560CAF7C24}"/>
    <hyperlink ref="I3" r:id="rId88" xr:uid="{1FDC1811-3047-471C-8DB4-8D2A01033FBA}"/>
    <hyperlink ref="I47" r:id="rId89" xr:uid="{8DEA76A3-5C7D-46F5-B5F4-9391B0BE581E}"/>
    <hyperlink ref="J47" r:id="rId90" xr:uid="{829D4B66-A802-4785-97AC-FA292C1D7378}"/>
    <hyperlink ref="I8" r:id="rId91" xr:uid="{56DC5B7A-F19E-40E7-9334-55D5A141C9A7}"/>
    <hyperlink ref="J8" r:id="rId92" xr:uid="{872B7A05-2D67-4B7D-BB24-E1D628BE8E45}"/>
    <hyperlink ref="I17" r:id="rId93" xr:uid="{882BC5F2-ED80-4DBF-BCF9-8151D7148B9C}"/>
    <hyperlink ref="J17" r:id="rId94" xr:uid="{AA784149-F02A-4B1B-8707-8C71DDD0F6BE}"/>
    <hyperlink ref="I41" r:id="rId95" xr:uid="{4FCCF9CE-85DD-409E-B7E0-ED52985E05D7}"/>
    <hyperlink ref="J41" r:id="rId96" xr:uid="{F8B355E1-B889-44FE-BB43-B9F801655F9C}"/>
    <hyperlink ref="C2" r:id="rId97" xr:uid="{4AA00D26-AAEA-47EE-BE56-0397A8658EF4}"/>
    <hyperlink ref="D2" r:id="rId98" xr:uid="{307E4224-86B3-4D66-9090-5F0B4271138D}"/>
    <hyperlink ref="C3" r:id="rId99" xr:uid="{F82D8DFB-BB5E-418B-8405-5B73AB0BC229}"/>
    <hyperlink ref="C4" r:id="rId100" xr:uid="{5ED68336-B5EC-450F-978A-68B6DCC05A43}"/>
    <hyperlink ref="D4" r:id="rId101" xr:uid="{DDE035D8-93CE-4007-810D-3AEC47B631B8}"/>
    <hyperlink ref="C5" r:id="rId102" location=":~:text=2025%20Year%20in%20Review%20%7C%20The%20Associated%20Press&amp;text=From%20battlefronts%20in%20Ukraine%20to,unrest%20from%20Africa%20to%20Asia" xr:uid="{9CB510BF-EDE8-4870-BA2C-4F8844D237DE}"/>
    <hyperlink ref="D5" r:id="rId103" xr:uid="{1359EE6C-F615-4F33-A209-105B285F66E7}"/>
    <hyperlink ref="C6" r:id="rId104" xr:uid="{461EAFCF-B9F8-4C1C-B007-33AC578413CE}"/>
    <hyperlink ref="D6" r:id="rId105" xr:uid="{50D022F3-2BB7-44D7-8D03-8E1D612C76E5}"/>
    <hyperlink ref="C7" r:id="rId106" xr:uid="{0EFE655C-54E4-45C1-9BB0-42CB4C372435}"/>
    <hyperlink ref="D7" r:id="rId107" xr:uid="{3548EA24-6B77-4437-B900-F66F26B35098}"/>
    <hyperlink ref="D26" r:id="rId108" xr:uid="{BA700068-66ED-4BD3-A031-D506B1E6149B}"/>
    <hyperlink ref="C8" r:id="rId109" xr:uid="{C0B780B3-C8F4-4134-85E5-9CB727641CAA}"/>
    <hyperlink ref="C9" r:id="rId110" xr:uid="{65BAA936-B39E-44C5-A2EB-CB7BCE4D0CB5}"/>
    <hyperlink ref="D9" r:id="rId111" xr:uid="{62ED2B39-F472-4FDD-B4AC-DC7E29E02340}"/>
    <hyperlink ref="C10" r:id="rId112" xr:uid="{96776899-93F4-4814-98C8-563C4BDDA2FF}"/>
    <hyperlink ref="D10" r:id="rId113" xr:uid="{8C738BD5-9564-438F-B402-4326EE74E1A0}"/>
    <hyperlink ref="C11" r:id="rId114" xr:uid="{E45EA529-7C74-4528-8278-FAD039393BCD}"/>
    <hyperlink ref="D11" r:id="rId115" xr:uid="{D4A3C22B-01C2-4E57-858B-0E16D0826188}"/>
    <hyperlink ref="C12" r:id="rId116" xr:uid="{33B9CB91-3D6C-488D-BAA2-018DE560B4BB}"/>
    <hyperlink ref="D12" r:id="rId117" xr:uid="{37BC49D7-B5EC-43A9-A0B3-01DC37406018}"/>
    <hyperlink ref="C13" r:id="rId118" xr:uid="{37BCE340-4E16-4041-B783-5FE3387C6800}"/>
    <hyperlink ref="D13" r:id="rId119" xr:uid="{824A1CF8-4832-4B3A-A485-490361BC8C17}"/>
    <hyperlink ref="C14" r:id="rId120" xr:uid="{FF9AC2D9-F8E5-46A7-AEDC-A63C335E76FE}"/>
    <hyperlink ref="C15" r:id="rId121" xr:uid="{7BD8CA73-0DEE-41E9-AF5A-6C7C7E6AFD2A}"/>
    <hyperlink ref="C16" r:id="rId122" xr:uid="{E120C2BE-3AAE-4715-901F-D71BAB55D8DD}"/>
    <hyperlink ref="D16" r:id="rId123" xr:uid="{F4651DD1-0DDB-4B53-BBB1-F8C1A8296C2E}"/>
    <hyperlink ref="C17" r:id="rId124" xr:uid="{4F55E08A-6BA2-4D4B-86CE-6FD99F0BE868}"/>
    <hyperlink ref="C18" r:id="rId125" xr:uid="{AF9EBB6C-1717-4D62-B20F-54BE3813C600}"/>
    <hyperlink ref="D18" r:id="rId126" xr:uid="{FC4DA894-0FB0-4D4C-ADEC-F99076DF18FB}"/>
    <hyperlink ref="C19" r:id="rId127" xr:uid="{6325B0EA-4614-4A37-80FE-68E7C2EB0054}"/>
    <hyperlink ref="C20" r:id="rId128" xr:uid="{88B8AC0C-2D65-4300-9012-D0E994B27818}"/>
    <hyperlink ref="C21" r:id="rId129" xr:uid="{6E688440-D17C-4FF6-AC7D-B4E89D4367FA}"/>
    <hyperlink ref="D21" r:id="rId130" xr:uid="{7BDDC30E-4103-4892-9691-02B7DB9BAD29}"/>
    <hyperlink ref="C22" r:id="rId131" xr:uid="{427D32FF-AD9F-4C4B-B604-9568A19C3CA2}"/>
    <hyperlink ref="C23" r:id="rId132" location="highest-rated-overall-next-ten" xr:uid="{E54D720E-4D7F-42F9-9CC9-17B50BF85D7D}"/>
    <hyperlink ref="C24" r:id="rId133" xr:uid="{D9583E57-F960-41AC-ACEA-3CFC93590516}"/>
    <hyperlink ref="C25" r:id="rId134" xr:uid="{97E52E56-E5B0-4B80-953E-60B8F41090C5}"/>
    <hyperlink ref="C26" r:id="rId135" xr:uid="{3F13EDFF-6B71-4C73-86E6-04962694A4E6}"/>
    <hyperlink ref="C27" r:id="rId136" xr:uid="{D996A78B-4C23-4A4B-BDE8-74BA86CBB43D}"/>
    <hyperlink ref="D27" r:id="rId137" xr:uid="{90A82576-B1FA-4180-8216-0BABC78771E2}"/>
    <hyperlink ref="C28" r:id="rId138" xr:uid="{CB8C2D98-3E1C-4D52-A1B2-1FD3986FAE98}"/>
    <hyperlink ref="D28" r:id="rId139" xr:uid="{A14B43C7-2ED8-42DC-AF9B-803094179C78}"/>
    <hyperlink ref="C29" r:id="rId140" xr:uid="{598D5E4B-9767-470A-BFAD-B3D3CE61AB26}"/>
    <hyperlink ref="C30" r:id="rId141" location="lightbox" xr:uid="{B9D557FF-87EA-46BD-A568-827BB574368E}"/>
    <hyperlink ref="C31" r:id="rId142" xr:uid="{218525D2-F792-47BC-A95B-A6ECFC5EFF60}"/>
    <hyperlink ref="C32" r:id="rId143" xr:uid="{2129B46E-FB82-4A9A-BBA6-F37A0B0E51F0}"/>
    <hyperlink ref="D32" r:id="rId144" xr:uid="{F268B813-7913-49BD-8259-64994F416DC2}"/>
    <hyperlink ref="C33" r:id="rId145" xr:uid="{BAF1A87E-FBD4-42B6-9344-782F16E662FF}"/>
    <hyperlink ref="D33" r:id="rId146" xr:uid="{22DAF00B-74C3-4835-AEDB-D0F351AF6E12}"/>
    <hyperlink ref="C34" r:id="rId147" xr:uid="{F4BBC2DB-3642-4DB0-B3B1-03CC1EE938D5}"/>
    <hyperlink ref="D34" r:id="rId148" xr:uid="{C51845FA-D270-43B2-95E1-D79021C03284}"/>
    <hyperlink ref="C37" r:id="rId149" xr:uid="{613C0718-DA62-40BF-B685-662523473B5F}"/>
    <hyperlink ref="D37" r:id="rId150" xr:uid="{568F7507-67D0-48AE-9D28-080346ADE99E}"/>
    <hyperlink ref="C38" r:id="rId151" xr:uid="{AB36009C-05F8-4AB9-89A6-F976C1FCD34A}"/>
    <hyperlink ref="C39" r:id="rId152" xr:uid="{66CAF3DC-D66A-436D-8E88-F2FE4F7B9A06}"/>
    <hyperlink ref="C40" r:id="rId153" xr:uid="{CA5DFC06-D07A-4026-828D-C9CA9EC8C91B}"/>
    <hyperlink ref="C41" r:id="rId154" xr:uid="{48129188-D802-4C35-A251-9D825D2C9720}"/>
    <hyperlink ref="D41" r:id="rId155" xr:uid="{968CEC2C-B705-49B4-97F9-511874792122}"/>
    <hyperlink ref="C42" r:id="rId156" xr:uid="{D97929E6-888C-419A-88B9-E48F09A442E6}"/>
    <hyperlink ref="C43" r:id="rId157" xr:uid="{B35CFD2A-C4A8-4368-A8EC-77D0CF7345D0}"/>
    <hyperlink ref="D43" r:id="rId158" xr:uid="{87D4C82F-7E56-4A54-9B34-9D3FD54F368A}"/>
    <hyperlink ref="C45" r:id="rId159" xr:uid="{6AFE271B-586E-4449-8316-BC2553C9CEBA}"/>
    <hyperlink ref="D45" r:id="rId160" xr:uid="{10375720-DB47-4A26-9E27-4C4E1588C91A}"/>
    <hyperlink ref="C46" r:id="rId161" xr:uid="{C65BC544-1AED-4A99-84AC-846E8027C558}"/>
    <hyperlink ref="C47" r:id="rId162" xr:uid="{CE9058E6-E08D-4301-B349-BD2550E27F2C}"/>
    <hyperlink ref="D47" r:id="rId163" xr:uid="{9476524C-2C1D-4992-BEBA-D74CEB726D28}"/>
    <hyperlink ref="C48" r:id="rId164" xr:uid="{D567BBF1-BF5E-41D7-B87D-9F719C4CD903}"/>
    <hyperlink ref="C49" r:id="rId165" xr:uid="{C9F8E480-8BD2-4644-9D53-4F5B459C3650}"/>
    <hyperlink ref="C52" r:id="rId166" xr:uid="{CC4F5BE0-5794-4597-A4E5-5CE997D9AD9D}"/>
    <hyperlink ref="D52" r:id="rId167" xr:uid="{864CFE50-FBC7-4D88-A03B-01CDBFAD0B27}"/>
    <hyperlink ref="C51" r:id="rId168" xr:uid="{EACCCC44-F0C8-4E8F-BAFE-1A694F900BC1}"/>
    <hyperlink ref="D51" r:id="rId169" xr:uid="{E1A91265-12E6-4E30-BEA8-72769ED0CCC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46"/>
  <sheetViews>
    <sheetView workbookViewId="0">
      <selection activeCell="A15" sqref="A15"/>
    </sheetView>
  </sheetViews>
  <sheetFormatPr defaultColWidth="0" defaultRowHeight="18.75" customHeight="1" zeroHeight="1"/>
  <cols>
    <col min="1" max="1" width="79" style="2" bestFit="1" customWidth="1"/>
    <col min="2" max="2" width="17.140625" style="2" customWidth="1"/>
    <col min="3" max="3" width="80" style="2" customWidth="1"/>
    <col min="4" max="16384" width="0" style="2" hidden="1"/>
  </cols>
  <sheetData>
    <row r="1" spans="1:3">
      <c r="A1" s="1" t="s">
        <v>28</v>
      </c>
      <c r="B1" s="1" t="s">
        <v>259</v>
      </c>
      <c r="C1" s="1" t="s">
        <v>94</v>
      </c>
    </row>
    <row r="2" spans="1:3">
      <c r="A2" s="2" t="s">
        <v>260</v>
      </c>
      <c r="B2" s="4" t="s">
        <v>261</v>
      </c>
      <c r="C2" s="3" t="s">
        <v>97</v>
      </c>
    </row>
    <row r="3" spans="1:3">
      <c r="A3" s="2" t="s">
        <v>262</v>
      </c>
      <c r="B3" s="5" t="s">
        <v>263</v>
      </c>
      <c r="C3" s="3" t="s">
        <v>203</v>
      </c>
    </row>
    <row r="4" spans="1:3">
      <c r="A4" s="2" t="s">
        <v>264</v>
      </c>
      <c r="B4" s="5" t="s">
        <v>265</v>
      </c>
      <c r="C4" s="3" t="s">
        <v>128</v>
      </c>
    </row>
    <row r="5" spans="1:3">
      <c r="A5" s="2" t="s">
        <v>266</v>
      </c>
      <c r="B5" s="4" t="s">
        <v>267</v>
      </c>
      <c r="C5" s="3" t="s">
        <v>268</v>
      </c>
    </row>
    <row r="6" spans="1:3">
      <c r="A6" s="2" t="s">
        <v>269</v>
      </c>
      <c r="B6" s="4" t="s">
        <v>270</v>
      </c>
      <c r="C6" s="3" t="s">
        <v>103</v>
      </c>
    </row>
    <row r="7" spans="1:3">
      <c r="A7" s="2" t="s">
        <v>271</v>
      </c>
      <c r="B7" s="4" t="s">
        <v>272</v>
      </c>
      <c r="C7" s="3" t="s">
        <v>273</v>
      </c>
    </row>
    <row r="8" spans="1:3">
      <c r="A8" s="2" t="s">
        <v>274</v>
      </c>
      <c r="B8" s="5" t="s">
        <v>275</v>
      </c>
      <c r="C8" s="3" t="s">
        <v>276</v>
      </c>
    </row>
    <row r="9" spans="1:3">
      <c r="A9" s="2" t="s">
        <v>277</v>
      </c>
      <c r="B9" s="5" t="s">
        <v>278</v>
      </c>
      <c r="C9" s="3" t="s">
        <v>131</v>
      </c>
    </row>
    <row r="10" spans="1:3">
      <c r="A10" s="2" t="s">
        <v>8</v>
      </c>
      <c r="B10" s="4" t="s">
        <v>154</v>
      </c>
      <c r="C10" s="3" t="s">
        <v>155</v>
      </c>
    </row>
    <row r="11" spans="1:3">
      <c r="A11" s="2" t="s">
        <v>104</v>
      </c>
      <c r="B11" s="4" t="s">
        <v>105</v>
      </c>
      <c r="C11" s="3" t="s">
        <v>106</v>
      </c>
    </row>
    <row r="12" spans="1:3">
      <c r="A12" s="2" t="s">
        <v>18</v>
      </c>
      <c r="B12" s="5" t="s">
        <v>211</v>
      </c>
      <c r="C12" s="3" t="s">
        <v>212</v>
      </c>
    </row>
    <row r="13" spans="1:3">
      <c r="A13" s="2" t="s">
        <v>208</v>
      </c>
      <c r="B13" s="4" t="s">
        <v>209</v>
      </c>
      <c r="C13" s="3" t="s">
        <v>210</v>
      </c>
    </row>
    <row r="14" spans="1:3"/>
    <row r="15" spans="1:3"/>
    <row r="16" spans="1:3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hyperlinks>
    <hyperlink ref="C2" r:id="rId1" xr:uid="{73BA1AB5-EE80-40A3-9810-366DCCA7FEE3}"/>
    <hyperlink ref="C3" r:id="rId2" xr:uid="{B0F669BC-3CA4-4243-A0F2-6DA09C32F02B}"/>
    <hyperlink ref="C4" r:id="rId3" xr:uid="{9786F720-6260-463A-8AD7-85B099C863C7}"/>
    <hyperlink ref="C5" r:id="rId4" xr:uid="{996B6EA2-5EC8-4AEB-9CC1-2D2ED5567A62}"/>
    <hyperlink ref="C6" r:id="rId5" xr:uid="{E7571C83-CACA-4804-8F15-F65491F6BDEB}"/>
    <hyperlink ref="C7" r:id="rId6" xr:uid="{CBEEA619-23D8-4F01-86A6-5ED28501BC10}"/>
    <hyperlink ref="C8" r:id="rId7" xr:uid="{0D2663AA-E8B6-4467-BC2C-16F7FC6E350A}"/>
    <hyperlink ref="C9" r:id="rId8" xr:uid="{A23D527A-1D36-458A-929F-4D63FA19457F}"/>
    <hyperlink ref="C10" r:id="rId9" xr:uid="{DB8BBA65-E477-4B5F-9E39-A258206067F8}"/>
    <hyperlink ref="C11" r:id="rId10" xr:uid="{E3726A94-F312-4B8C-9C02-5D5D120C3DAF}"/>
    <hyperlink ref="C13" r:id="rId11" xr:uid="{01994C18-3B77-4E1F-8AD3-034ECC10BD6D}"/>
    <hyperlink ref="C12" r:id="rId12" xr:uid="{CAEFD501-2CDB-45C7-8871-2AC01B057D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A22E-7DF9-4363-9475-9FBB3B65A4FB}">
  <dimension ref="A2:B29"/>
  <sheetViews>
    <sheetView workbookViewId="0"/>
  </sheetViews>
  <sheetFormatPr defaultRowHeight="15"/>
  <cols>
    <col min="1" max="1" width="16.140625" bestFit="1" customWidth="1"/>
    <col min="2" max="2" width="13.28515625" bestFit="1" customWidth="1"/>
  </cols>
  <sheetData>
    <row r="2" spans="1:2">
      <c r="A2" s="66" t="s">
        <v>279</v>
      </c>
      <c r="B2" t="s">
        <v>280</v>
      </c>
    </row>
    <row r="3" spans="1:2">
      <c r="A3" s="67" t="s">
        <v>3</v>
      </c>
      <c r="B3">
        <v>8</v>
      </c>
    </row>
    <row r="4" spans="1:2">
      <c r="A4" s="67" t="s">
        <v>26</v>
      </c>
      <c r="B4">
        <v>4</v>
      </c>
    </row>
    <row r="5" spans="1:2">
      <c r="A5" s="67" t="s">
        <v>21</v>
      </c>
      <c r="B5">
        <v>4</v>
      </c>
    </row>
    <row r="6" spans="1:2">
      <c r="A6" s="67" t="s">
        <v>18</v>
      </c>
      <c r="B6">
        <v>4</v>
      </c>
    </row>
    <row r="7" spans="1:2">
      <c r="A7" s="67" t="s">
        <v>24</v>
      </c>
      <c r="B7">
        <v>3</v>
      </c>
    </row>
    <row r="8" spans="1:2">
      <c r="A8" s="67" t="s">
        <v>4</v>
      </c>
      <c r="B8">
        <v>3</v>
      </c>
    </row>
    <row r="9" spans="1:2">
      <c r="A9" s="67" t="s">
        <v>2</v>
      </c>
      <c r="B9">
        <v>3</v>
      </c>
    </row>
    <row r="10" spans="1:2">
      <c r="A10" s="67" t="s">
        <v>23</v>
      </c>
      <c r="B10">
        <v>2</v>
      </c>
    </row>
    <row r="11" spans="1:2">
      <c r="A11" s="67" t="s">
        <v>6</v>
      </c>
      <c r="B11">
        <v>2</v>
      </c>
    </row>
    <row r="12" spans="1:2">
      <c r="A12" s="67" t="s">
        <v>22</v>
      </c>
      <c r="B12">
        <v>1</v>
      </c>
    </row>
    <row r="13" spans="1:2">
      <c r="A13" s="67" t="s">
        <v>15</v>
      </c>
      <c r="B13">
        <v>1</v>
      </c>
    </row>
    <row r="14" spans="1:2">
      <c r="A14" s="67" t="s">
        <v>14</v>
      </c>
      <c r="B14">
        <v>1</v>
      </c>
    </row>
    <row r="15" spans="1:2">
      <c r="A15" s="67" t="s">
        <v>25</v>
      </c>
      <c r="B15">
        <v>1</v>
      </c>
    </row>
    <row r="16" spans="1:2">
      <c r="A16" s="67" t="s">
        <v>20</v>
      </c>
      <c r="B16">
        <v>1</v>
      </c>
    </row>
    <row r="17" spans="1:2">
      <c r="A17" s="67" t="s">
        <v>12</v>
      </c>
      <c r="B17">
        <v>1</v>
      </c>
    </row>
    <row r="18" spans="1:2">
      <c r="A18" s="67" t="s">
        <v>13</v>
      </c>
      <c r="B18">
        <v>1</v>
      </c>
    </row>
    <row r="19" spans="1:2">
      <c r="A19" s="67" t="s">
        <v>7</v>
      </c>
      <c r="B19">
        <v>1</v>
      </c>
    </row>
    <row r="20" spans="1:2">
      <c r="A20" s="67" t="s">
        <v>27</v>
      </c>
      <c r="B20">
        <v>1</v>
      </c>
    </row>
    <row r="21" spans="1:2">
      <c r="A21" s="67" t="s">
        <v>19</v>
      </c>
      <c r="B21">
        <v>1</v>
      </c>
    </row>
    <row r="22" spans="1:2">
      <c r="A22" s="67" t="s">
        <v>16</v>
      </c>
      <c r="B22">
        <v>1</v>
      </c>
    </row>
    <row r="23" spans="1:2">
      <c r="A23" s="67" t="s">
        <v>9</v>
      </c>
      <c r="B23">
        <v>1</v>
      </c>
    </row>
    <row r="24" spans="1:2">
      <c r="A24" s="67" t="s">
        <v>17</v>
      </c>
      <c r="B24">
        <v>1</v>
      </c>
    </row>
    <row r="25" spans="1:2">
      <c r="A25" s="67" t="s">
        <v>10</v>
      </c>
      <c r="B25">
        <v>1</v>
      </c>
    </row>
    <row r="26" spans="1:2">
      <c r="A26" s="67" t="s">
        <v>5</v>
      </c>
      <c r="B26">
        <v>1</v>
      </c>
    </row>
    <row r="27" spans="1:2">
      <c r="A27" s="67" t="s">
        <v>11</v>
      </c>
      <c r="B27">
        <v>1</v>
      </c>
    </row>
    <row r="28" spans="1:2">
      <c r="A28" s="67" t="s">
        <v>8</v>
      </c>
      <c r="B28">
        <v>1</v>
      </c>
    </row>
    <row r="29" spans="1:2">
      <c r="A29" s="67" t="s">
        <v>281</v>
      </c>
      <c r="B29">
        <v>50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5E19A51D40F45B7D65955EC1C51C5" ma:contentTypeVersion="3" ma:contentTypeDescription="Create a new document." ma:contentTypeScope="" ma:versionID="60564fb3e10e47b3a5508226a0bd3c08">
  <xsd:schema xmlns:xsd="http://www.w3.org/2001/XMLSchema" xmlns:xs="http://www.w3.org/2001/XMLSchema" xmlns:p="http://schemas.microsoft.com/office/2006/metadata/properties" xmlns:ns2="3158e8e2-021b-4d32-9c73-1c84eb19449d" targetNamespace="http://schemas.microsoft.com/office/2006/metadata/properties" ma:root="true" ma:fieldsID="15a340a99a8bf75d2854ad3b5b602a57" ns2:_="">
    <xsd:import namespace="3158e8e2-021b-4d32-9c73-1c84eb194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e8e2-021b-4d32-9c73-1c84eb194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79D70-C818-44B5-97F2-3DEC66CBE3CA}"/>
</file>

<file path=customXml/itemProps2.xml><?xml version="1.0" encoding="utf-8"?>
<ds:datastoreItem xmlns:ds="http://schemas.openxmlformats.org/officeDocument/2006/customXml" ds:itemID="{3E18A49C-BF19-4B97-A7BA-8B3386D55285}"/>
</file>

<file path=customXml/itemProps3.xml><?xml version="1.0" encoding="utf-8"?>
<ds:datastoreItem xmlns:ds="http://schemas.openxmlformats.org/officeDocument/2006/customXml" ds:itemID="{466CB2E4-1E3B-49FB-B172-1D2BE3EE4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2026-02-09T18:08:56Z</dcterms:created>
  <dcterms:modified xsi:type="dcterms:W3CDTF">2026-04-23T16:23:01Z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0x010100DBB5E19A51D40F45B7D65955EC1C51C5</vt:lpwstr>
  </property>
</Properties>
</file>